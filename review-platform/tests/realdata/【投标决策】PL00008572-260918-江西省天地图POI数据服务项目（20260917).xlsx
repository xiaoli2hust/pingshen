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activeTab="2" xr2:uid="{752BAC88-3D22-6345-9E5D-6A586CA68B77}"/>
  </bookViews>
  <sheets>
    <sheet name="流程指引" sheetId="1" r:id="rId1" state="hidden"/>
    <sheet name="售前立项评审-信息收集与前置评审" sheetId="2" r:id="rId2" state="hidden"/>
    <sheet name="投标决策评审-信息收集与前置评审" sheetId="3" r:id="rId3"/>
    <sheet name="项目关键事项决策-信息收集与前置评审" sheetId="4" r:id="rId4" state="hidden"/>
    <sheet name="附1-预算表" sheetId="5" r:id="rId5"/>
    <sheet name="附3-交付成本评估" sheetId="6" r:id="rId6"/>
    <sheet name="成本评估逻辑" sheetId="7" r:id="rId7"/>
    <sheet name="附2-产品与服务清单" sheetId="8" r:id="rId8"/>
    <sheet name="附4-运维成本评估（决算用）" sheetId="9" r:id="rId9" state="hidden"/>
  </sheets>
  <calcPr calcId="0"/>
</workbook>
</file>

<file path=xl/sharedStrings.xml><?xml version="1.0" encoding="utf-8"?>
<sst xmlns="http://schemas.openxmlformats.org/spreadsheetml/2006/main">
  <si>
    <t>商机-项目关键节点评审管理流程指引</t>
  </si>
  <si>
    <t>版本：V1.0  |  生效日期：2026年  月  日  |  编制：李晓  |  审核：CMO/企划办</t>
  </si>
  <si>
    <t>一、管理目的与适用范围</t>
  </si>
  <si>
    <t>本流程指引旨在规范公司商机-项目全生命周期关键节点的评审管控，覆盖市场营销部、G1和B2业务线。通过建立标准化的评审规则与红黄绿灯分级机制，实现项目风险的前置识别、分级管控与高效决策，确保公司项目质量与经营安全。
适用范围：公司所有商机-项目，涵盖以下四大关键节点：①POC投入  ②售前立项评审  ③投标决策评审  ④项目关键事项决策
评审分级：部门级项目评审会（常规项目）→ XO级项目评审会（重大/高风险项目）。触发XO级评审的场景详见各环节具体规则。</t>
  </si>
  <si>
    <t>二、红黄绿灯分级评审机制</t>
  </si>
  <si>
    <t>绿灯（免上会）</t>
  </si>
  <si>
    <t>所有评审指标均满足"免上会"标准 → 项目无需上会评审，智能体评审为绿灯后即可通过，直接推进至下一阶段。市场营销支持处留档备查。</t>
  </si>
  <si>
    <t>黄灯（上会决策）</t>
  </si>
  <si>
    <t>存在一项或多项指标触发"上会决策"标准 → 项目需提交至线下评审会进行决策。会议分级：部门级评审会（常规黄灯项目）或XO级评审会（触发XO级升级条件的项目）。</t>
  </si>
  <si>
    <t>红灯（红线禁止）</t>
  </si>
  <si>
    <t>存在任一指标触发"红线禁止"标准 → 项目打回，要求销售/项目经理与客户重新协商调整后再次提交评审。红线项不可豁免。</t>
  </si>
  <si>
    <t>三、各环节评审流程详述</t>
  </si>
  <si>
    <t>3.1  项目POC投入（邮件审批）</t>
  </si>
  <si>
    <t/>
  </si>
  <si>
    <t>事项</t>
  </si>
  <si>
    <t>申请人</t>
  </si>
  <si>
    <t>审批方式</t>
  </si>
  <si>
    <t>审批人</t>
  </si>
  <si>
    <t>审批要点</t>
  </si>
  <si>
    <t>分级</t>
  </si>
  <si>
    <t>使用模板</t>
  </si>
  <si>
    <t>后续动作</t>
  </si>
  <si>
    <t>备注</t>
  </si>
  <si>
    <t>项目POC投入</t>
  </si>
  <si>
    <t>销售经理</t>
  </si>
  <si>
    <t>邮件审批</t>
  </si>
  <si>
    <t>区域交付负责人</t>
  </si>
  <si>
    <t>销售经理发送邮件申请，由区域交付负责人评估交付资源情况，确认资源OK后安排交付。</t>
  </si>
  <si>
    <t>无分级
（不纳入红黄绿灯机制）</t>
  </si>
  <si>
    <t>《POC投入申请表》</t>
  </si>
  <si>
    <t>交付完成后归档</t>
  </si>
  <si>
    <t>未在产品POC范围内的售前投入，均需完成售前立项评审</t>
  </si>
  <si>
    <t>3.2  售前立项评审（项目评审委员会决策）</t>
  </si>
  <si>
    <t>【流程步骤】
Step 1  信息收集：销售经理/项目经理填写《售前立项评审-信息收集与前置评审表》的"项目基础信息"及"可由销售经理/项目经理判断的规则指标"，提交至销售支持组。
Step 2  前置评审：销售支持组 分发至各业务/职能部门（交付负责人、业财、采购经理、法务、公共事务等），各部门在规定时间内完成各自负责指标的核实与风险判定，针对无法量化指标需填写前置评审意见及红黄绿灯等级。
Step 3  风险评定：销售支持组汇总前置评审意见表，并使用评审智能体进行项目风险评定，输出项目灯态和风险报告（红、黄灯需输出）。
Step 4  分类处理：
          · 绿灯项目 → 免上会，邮件输出智能体评审结论并留档备查，项目推进至下一阶段。
          · 红灯项目 → 打回，销售经理与客户重新协商，调整后可再次提交。
          · 黄灯项目 → 进入线下评审会，根据触发条件确定会议级别（部门级/XO级）。
Step 5  评审决策：评审会输出决策结果，销售支持组/企划办归档并跟踪后续执行。</t>
  </si>
  <si>
    <t>协同人</t>
  </si>
  <si>
    <t>前置评审成员</t>
  </si>
  <si>
    <t>部门级决策机制</t>
  </si>
  <si>
    <t>XO级决策机制</t>
  </si>
  <si>
    <t>部门级提报机制</t>
  </si>
  <si>
    <t>XO级提报机制</t>
  </si>
  <si>
    <t>评审后续</t>
  </si>
  <si>
    <t>项目经理、解决方案</t>
  </si>
  <si>
    <t>《售前立项评审-信息收集与前置评审表》
《项目贡献毛利率及成本预算表》</t>
  </si>
  <si>
    <t>交付负责人、产研负责人、财务BP、采购BP、法务、公共事务等</t>
  </si>
  <si>
    <t>决策方式：部门级项目评审会
会议周期：每周二
主述人：销售经理
决策人：部门级项目评审委员会
主办组织：销售支持组</t>
  </si>
  <si>
    <t>决策方式：XO级项目评审会
会议周期：每周五
主述人：销售经理
决策人：XO级项目评审委员会
主办组织：企划办</t>
  </si>
  <si>
    <t>提报路径：销售经理→销售支持组
部门级时间要求：
①提前1周进行项目提报
②提前2个工作日完成材料提交，材料提交前可自行通过智能体判断项目灯态
③每周一销售支持组汇总智能体项目灯态，绿灯项目免上会，红灯项目驳回，黄灯项目注意项目关键风险点评审会决策，并邮件发出</t>
  </si>
  <si>
    <t>提报路径：销售经理→销售支持组
时间要求：提前完成部门级评审会</t>
  </si>
  <si>
    <t>评审通过后，由项目经理发起PMS项目建立申请，将评审决策文件、项目贡献毛利率及成本预算表（初算）作为审批附件上传；由交付负责人审批通过</t>
  </si>
  <si>
    <t>3.3  投标决策评审（项目评审委员会决策）</t>
  </si>
  <si>
    <t>【流程步骤】
Step 1  信息收集：销售经理填写《投标决策评审-信息收集与前置评审表》的"项目基础信息"及"可由销售经理判断的规则指标"，提交至销售支持组。
Step 2  前置评审：销售支持组 分发至各业务/职能部门（交付负责人、业财、采购经理、法务、公共事务等），各部门在规定时间内完成各自负责指标的核实与风险判定，针对无法量化指标需填写前置评审意见及红黄绿灯等级。
Step 3  风险评定：销售支持组汇总前置评审意见表，并使用评审智能体进行项目风险评定，输出项目灯态和风险报告（红、黄灯需输出）。
Step 4  分类处理：
          · 绿灯项目 → 免上会，邮件输出智能体评审结论并留档备查，项目推进至下一阶段。
          · 红灯项目 → 打回，销售经理与客户重新协商，调整后可再次提交。
          · 黄灯项目 → 进入线下评审会，根据触发条件确定会议级别（部门级/XO级）。
Step 5  评审决策：评审会输出决策结果，销售支持组/企划办归档并跟踪后续执行。</t>
  </si>
  <si>
    <t>《投标决策评审-信息收集与前置评审表》
《项目贡献毛利率及成本预算表》</t>
  </si>
  <si>
    <t>评审通过后，由项目经理发起PMS项目建立申请，将评审决策文件、项目贡献毛利率及成本预算表（概算）作为审批附件上传；由交付负责人审批通过。
评审不通过且前期已有预投入，需项目经理进行PMS项目关闭，通知项目组成员在3个工作日内完成收尾。</t>
  </si>
  <si>
    <t>3.4  项目关键事项决策（项目评审委员会决策）</t>
  </si>
  <si>
    <t>【流程步骤】
Step 1  信息收集：项目经理填写《项目关键事项决策-信息收集与前置评审表》的"项目基础信息"及"可由项目经理判断的规则指标"，提交至销售支持组。
Step 2  前置评审：销售支持组 分发至各业务/职能部门（交付负责人、业财、采购经理、法务、公共事务等），各部门在规定时间内完成各自负责指标的核实与风险判定，针对无法量化指标需填写前置评审意见及红黄绿灯等级。
Step 3  风险评定：销售支持组汇总前置评审意见表，并使用评审智能体进行项目风险评定，输出项目灯态和风险报告（红、黄灯需输出）。
Step 4  分类处理：
          · 绿灯项目 → 免上会，邮件输出智能体评审结论并留档备查，项目推进至下一阶段。
          · 红灯项目 → 打回，销售经理与客户重新协商，调整后可再次提交。
          · 黄灯项目 → 进入线下评审会，根据触发条件确定会议级别（部门级/XO级）。
Step 5  评审决策：评审会输出决策结果，销售支持组/企划办归档并跟踪后续执行。</t>
  </si>
  <si>
    <t>项目经理</t>
  </si>
  <si>
    <t>《项目关键事项决策-信息收集与前置评审表》
《项目贡献毛利率及成本预算表》
《项目变更申请表》（如涉及变更）</t>
  </si>
  <si>
    <t>区域交付负责人、项目管理部负责人、业财、采购经理（如有）</t>
  </si>
  <si>
    <t>决策方式：部门级项目评审会
会议周期：每周二
主述人：项目经理
决策人：部门级项目评审委员会
主办组织：项目管理部</t>
  </si>
  <si>
    <t>决策方式：XO级项目评审会
会议周期：每周五
主述人：项目管理部负责人
决策人：XO级项目评审委员会
主办组织：企划办</t>
  </si>
  <si>
    <t>提报路径：项目经理→销售支持组
时间要求：
①提前5个工作日进行提报
②提前2个工作日完成材料提交
③每周一销售支持组汇总智能体项目灯态，绿灯项目免上会，红灯项目驳回，黄灯项目注意项目关键风险点评审会决策，并邮件发出</t>
  </si>
  <si>
    <t>提报路径：项目经理→销售支持组
时间要求：
提前完成部门级评审会</t>
  </si>
  <si>
    <t>评审通过后，由项目经理发起PMS项目变更申请（如涉及变更），将评审决策文件、项目贡献毛利率及成本预算表（变更版）作为审批附件上传；由交付负责人审批通过。</t>
  </si>
  <si>
    <t>四、触发XO级评审会的场景（部门级 → XO级升级条件）</t>
  </si>
  <si>
    <t>序号</t>
  </si>
  <si>
    <t>触发场景</t>
  </si>
  <si>
    <t>升级级别</t>
  </si>
  <si>
    <t>1</t>
  </si>
  <si>
    <t>项目运维周期：大于3年</t>
  </si>
  <si>
    <t>XO级</t>
  </si>
  <si>
    <t>2</t>
  </si>
  <si>
    <t>存在指定供应商</t>
  </si>
  <si>
    <t>3</t>
  </si>
  <si>
    <t>部门级评审意见未达成一致</t>
  </si>
  <si>
    <t>4</t>
  </si>
  <si>
    <t>毛利维度：项目贡献毛利率＜0%</t>
  </si>
  <si>
    <t>5</t>
  </si>
  <si>
    <t>合同金额：大于500万</t>
  </si>
  <si>
    <t>6</t>
  </si>
  <si>
    <t>提前投入大于50万</t>
  </si>
  <si>
    <t>7</t>
  </si>
  <si>
    <t>过单项目（分包比例大于70%）</t>
  </si>
  <si>
    <t>8</t>
  </si>
  <si>
    <t>项目合同存在提供担保或为他人提供担保</t>
  </si>
  <si>
    <t>9</t>
  </si>
  <si>
    <t>项目合同存在竞业等事项</t>
  </si>
  <si>
    <t>10</t>
  </si>
  <si>
    <t>存在项目推广激励（to对外，比例≥15%或金额≥30w）</t>
  </si>
  <si>
    <t>11</t>
  </si>
  <si>
    <t>存在项目推广激励（to顺丰体系内、激励制度规则条款外）</t>
  </si>
  <si>
    <t>五、关键角色与职责</t>
  </si>
  <si>
    <t>角色</t>
  </si>
  <si>
    <t>职责说明</t>
  </si>
  <si>
    <t>售前立项/投标决策的发起人，负责填写项目基础信息及可判断的指标，与客户协商调整红灯事项</t>
  </si>
  <si>
    <t>项目关键事项决策的发起人，配合售前阶段技术评审，负责PMS项目建立/变更申请</t>
  </si>
  <si>
    <t>FDE工程师</t>
  </si>
  <si>
    <t>前置评审中负责技术可行性、交付资源等业务维度指标的核实与判断</t>
  </si>
  <si>
    <t>财务BP</t>
  </si>
  <si>
    <t>前置评审中负责贡献利润、付款条件、客户信用、关联交易等财务维度指标的核实与判断</t>
  </si>
  <si>
    <t>采购BP</t>
  </si>
  <si>
    <t>前置评审中负责分包合理性、指定供应商、下游资质等采购维度指标的核实与判断</t>
  </si>
  <si>
    <t>法务</t>
  </si>
  <si>
    <t>前置评审中负责签约路径合规、知识产权、数据合规安全、担保竞业等法务维度指标的核实与判断</t>
  </si>
  <si>
    <t>合规BP</t>
  </si>
  <si>
    <t>前置评审中负责测绘合规、资质证照等合规维度指标的核实与判断</t>
  </si>
  <si>
    <t>销售支持BP</t>
  </si>
  <si>
    <t>部门级评审的组织方，负责信息收集表分发、前置评审协调、灯态汇总、会议组织及决策归档</t>
  </si>
  <si>
    <t>企划办</t>
  </si>
  <si>
    <t>XO级评审的组织方，负责XO级评审会的组织与决策归档</t>
  </si>
  <si>
    <t>售前立项评审 — 信息收集与前置评审表</t>
  </si>
  <si>
    <t>Part A：项目基础信息（由申请人填写）</t>
  </si>
  <si>
    <t>商机名称</t>
  </si>
  <si>
    <t>商机代码</t>
  </si>
  <si>
    <t>最终客户名称</t>
  </si>
  <si>
    <t>商机阶段</t>
  </si>
  <si>
    <t>业务线</t>
  </si>
  <si>
    <t>G1 / B2 / G2（请选择）</t>
  </si>
  <si>
    <t>营销区域</t>
  </si>
  <si>
    <t>请选择</t>
  </si>
  <si>
    <t>预计合同金额（万元）</t>
  </si>
  <si>
    <t>预计签单时间</t>
  </si>
  <si>
    <t>项目概述</t>
  </si>
  <si>
    <r>
      <rPr>
        <b/>
        <color rgb="FF1F3864"/>
        <rFont val="微软雅黑"/>
        <sz val="9.5"/>
      </rPr>
      <t xml:space="preserve">是否涉及测绘</t>
    </r>
    <r>
      <rPr>
        <b/>
        <color rgb="FF1F3864"/>
        <rFont val="微软雅黑"/>
        <sz val="6"/>
      </rPr>
      <t xml:space="preserve">（涉及外业采集或地图）</t>
    </r>
  </si>
  <si>
    <t>是 / 否（请选择）</t>
  </si>
  <si>
    <t>是否涉及分包提前进场</t>
  </si>
  <si>
    <t>预计售前投入成本（万元）</t>
  </si>
  <si>
    <t>预计售前实施周期</t>
  </si>
  <si>
    <t>Part B：非量化类关键评审指标-前置评审</t>
  </si>
  <si>
    <t>评审维度
（部门）</t>
  </si>
  <si>
    <t>评判指标</t>
  </si>
  <si>
    <t>辅助指标/说明</t>
  </si>
  <si>
    <t>绿灯标准
（免上会）</t>
  </si>
  <si>
    <t>黄灯标准
（上会决策）</t>
  </si>
  <si>
    <t>红灯标准
（红线禁止）</t>
  </si>
  <si>
    <t>风险等级
（红/黄/绿）</t>
  </si>
  <si>
    <t>前置评审意见</t>
  </si>
  <si>
    <t>前置评审人
（签字）</t>
  </si>
  <si>
    <t>部门评审↓</t>
  </si>
  <si>
    <t>业务</t>
  </si>
  <si>
    <t>技术可行性</t>
  </si>
  <si>
    <t>无技术风险</t>
  </si>
  <si>
    <t>存在交付侧技术风险，但在客户需求边界/预期交付边界控制的情况下，可完成交付</t>
  </si>
  <si>
    <t>技术侧无法交付，因成本/资质问题无法分包</t>
  </si>
  <si>
    <t>交付资源风险</t>
  </si>
  <si>
    <t>客户侧要求的售前投入交付节点及周期</t>
  </si>
  <si>
    <t>资源无风险</t>
  </si>
  <si>
    <t>交付实施资源当前周期内存在明确缺口</t>
  </si>
  <si>
    <t>合规</t>
  </si>
  <si>
    <t>合同交付物（测绘项目）</t>
  </si>
  <si>
    <t>涉及外业采集或地图数据</t>
  </si>
  <si>
    <t>合同交付物无外业采集和地图数据相关内容</t>
  </si>
  <si>
    <t>合同交付物有外业采集和地图数据相关内容</t>
  </si>
  <si>
    <t>采购</t>
  </si>
  <si>
    <t>存在分包提前投入</t>
  </si>
  <si>
    <t>分包提前介入</t>
  </si>
  <si>
    <t>财务</t>
  </si>
  <si>
    <t>客户过往合作信誉</t>
  </si>
  <si>
    <t>过往投入转单率</t>
  </si>
  <si>
    <t>无诉讼欠款、无逾期欠款、无沉默的历史交付成本</t>
  </si>
  <si>
    <t>存在逾期欠款 or 存在沉默的历史交付成本</t>
  </si>
  <si>
    <t>存在未完结诉讼（直接+间接）
存在历史坏账</t>
  </si>
  <si>
    <t>投标决策评审 — 信息收集与前置评审表</t>
  </si>
  <si>
    <t>江西省天地图POI数据服务项目</t>
  </si>
  <si>
    <t>PL00008572</t>
  </si>
  <si>
    <t>投标决策</t>
  </si>
  <si>
    <t>华北营销处-渠道</t>
  </si>
  <si>
    <t>G1</t>
  </si>
  <si>
    <t>江西省自然资源测绘与监测院</t>
  </si>
  <si>
    <t>王超</t>
  </si>
  <si>
    <t>冯金华</t>
  </si>
  <si>
    <t>预计贡献毛利率（%）</t>
  </si>
  <si>
    <t>项目已发生成本（万元）</t>
  </si>
  <si>
    <t>项目运维周期</t>
  </si>
  <si>
    <t>1年</t>
  </si>
  <si>
    <r>
      <rPr>
        <b/>
        <color rgb="FF1F3864"/>
        <rFont val="微软雅黑"/>
        <sz val="9.5"/>
      </rPr>
      <t xml:space="preserve">是否存在转包限制</t>
    </r>
    <r>
      <rPr>
        <b/>
        <color rgb="FF1F3864"/>
        <rFont val="微软雅黑"/>
        <sz val="6"/>
      </rPr>
      <t xml:space="preserve">（客户/客户上游禁止转包）</t>
    </r>
  </si>
  <si>
    <t>否</t>
  </si>
  <si>
    <t>项目建设内容：提供自有的江西省全省范围的POI原始数据，POI数据的字段信息须包括ID、名称、坐标、地址、大类、中类、小类、类型编号。需完全覆盖江西省全省行政区域，包括11个市，100个县区的全量数据，数据量不低于220万，其中江西省的萍乡、南昌、抚州、赣州4个地市需对政府及管理机构、公检法机构、宗教社团、社会福利机构、公共服务、商业服务、住宅设施、科教文卫、休闲度假、风景名胜、企事业单位、交通运输等12类政务兴趣点进行治理提供，其余7个地市按照政府及管理机构、社会福利机构、住宅设施、科教文卫、企事业单位、交通运输6类别进行治理提供。</t>
  </si>
  <si>
    <t>签约路径</t>
  </si>
  <si>
    <t>江西省自然资源测绘与监测院→易智瑞信息技术有限公司→航天云际时空信息技术（重庆）有限公司→丰图科技（深圳）有限公司</t>
  </si>
  <si>
    <t>是否涉及甲导资质</t>
  </si>
  <si>
    <r>
      <rPr>
        <b/>
        <color rgb="FF1F3864"/>
        <rFont val="微软雅黑"/>
        <sz val="9.5"/>
      </rPr>
      <t xml:space="preserve">是否涉密项目</t>
    </r>
    <r>
      <rPr>
        <b/>
        <color rgb="FF1F3864"/>
        <rFont val="微软雅黑"/>
        <sz val="6"/>
      </rPr>
      <t xml:space="preserve">（涉及保密资质，涉密项目请先联系保密办）</t>
    </r>
  </si>
  <si>
    <t>分包总金额（万元）</t>
  </si>
  <si>
    <t>指定类分包金额（万元）</t>
  </si>
  <si>
    <t>测绘类分包金额（万元）</t>
  </si>
  <si>
    <t>分包是否涉及公司核心能力</t>
  </si>
  <si>
    <t>项目推广激励面向对象</t>
  </si>
  <si>
    <t>无</t>
  </si>
  <si>
    <t>项目推广激励（万元）</t>
  </si>
  <si>
    <t>结算方式</t>
  </si>
  <si>
    <t>银行转账</t>
  </si>
  <si>
    <t>预计回款时间</t>
  </si>
  <si>
    <t>预计26年Q4回款40%，27年Q2回款60%</t>
  </si>
  <si>
    <t>付款条件</t>
  </si>
  <si>
    <t>首付款40%，数据交付验收后付60%</t>
  </si>
  <si>
    <t>合同背靠背场景</t>
  </si>
  <si>
    <t>回款+验收=全部背靠背</t>
  </si>
  <si>
    <t>确收方式及预估确收时间</t>
  </si>
  <si>
    <t>一次性确收，预计在27年Q1确收</t>
  </si>
  <si>
    <t>合同是否存在提供担保或为他人提供担保</t>
  </si>
  <si>
    <t>合同是否存在竞业条款</t>
  </si>
  <si>
    <t>合同是否有转包限制</t>
  </si>
  <si>
    <t>项目是否涉及硬件所有权归属</t>
  </si>
  <si>
    <t xml:space="preserve"> 不涉及</t>
  </si>
  <si>
    <t>是否涉及SF小哥相关业务</t>
  </si>
  <si>
    <t>是否涉及数据跨境传输或红线禁止数据</t>
  </si>
  <si>
    <t>项目所在地省份</t>
  </si>
  <si>
    <t>江西省</t>
  </si>
  <si>
    <t>产品售卖类型</t>
  </si>
  <si>
    <t>非标品</t>
  </si>
  <si>
    <t>B2业务类型</t>
  </si>
  <si>
    <t>标品售价标准</t>
  </si>
  <si>
    <t>不涉及标品</t>
  </si>
  <si>
    <t>是否涉及数据评审</t>
  </si>
  <si>
    <t>是</t>
  </si>
  <si>
    <t>预期实现方式</t>
  </si>
  <si>
    <t>提供江西全省的POI数据，对其中的4个地市的POI的分类按照天地图的12大类进行映射，对剩余7个地市的分类按天地图的6大类进行映射。只提供POI的名称、地址、坐标、分类，不涉及运单数据或其它敏感数据。</t>
  </si>
  <si>
    <t>数据交付字段/内容</t>
  </si>
  <si>
    <t>数据名称：POI数据；
数据字段：唯一ID、名称、坐标、地址、大类、中类、小类、类型编号；
数据范围：江西省；
时间要求：POI数据的更新时间要求是签订合同的前一季度的数据。</t>
  </si>
  <si>
    <t>数据合规性审查内容</t>
  </si>
  <si>
    <t>输出全市POI数据，只需提供唯一ID、名称、坐标、地址、大类、中类、小类、类型编号这几个字段，不涉及提供原始数据或涉密数据。</t>
  </si>
  <si>
    <t>业务/采购</t>
  </si>
  <si>
    <t>分包合理性</t>
  </si>
  <si>
    <t>分包能力是否核心能力、是否指定性、付款条款不合理、下游分包方资质</t>
  </si>
  <si>
    <t>非公司核心能力分包，且非指定性分包、测绘类项目下游分包方有测绘资质、付款条款为背靠背、供应商资质合格</t>
  </si>
  <si>
    <t>公司核心能力被分包（指定性分包需上XO级）、付款条款不为背靠背、测绘类项目下游供应商无测绘资质、供应商资质不合格等</t>
  </si>
  <si>
    <t>绿灯</t>
  </si>
  <si>
    <t>项目无分包</t>
  </si>
  <si>
    <t>采购BP/FDE</t>
  </si>
  <si>
    <t>存在交付侧技术风险，但在客户需求边界/预期交付边界控制情况下可完成交付</t>
  </si>
  <si>
    <t>同意</t>
  </si>
  <si>
    <t>客户历史欠款</t>
  </si>
  <si>
    <t>逾期天数/逾期金额</t>
  </si>
  <si>
    <t>无；或存在终验款和质保金逾期，销售愿意背书在90天内拿回终验款</t>
  </si>
  <si>
    <t>其他逾期款情况</t>
  </si>
  <si>
    <t>客户无欠款</t>
  </si>
  <si>
    <t>签约客户/最终客户信用评估</t>
  </si>
  <si>
    <t>客户评级制度、工商公开信息等</t>
  </si>
  <si>
    <t>政府/央企/国有企业等优质客户
非国有小微企业满足：成立≥5年、人员≥10、近三月有中标、法人无失信、无诉讼</t>
  </si>
  <si>
    <t>"皮包公司"或财政和资金状况较差</t>
  </si>
  <si>
    <t>黑名单客户</t>
  </si>
  <si>
    <t>集团公司关联交易金额</t>
  </si>
  <si>
    <t>年度关联交易预算金额</t>
  </si>
  <si>
    <t>累计关联交易预算金额≤100w</t>
  </si>
  <si>
    <t>累计关联交易预算金额＞100w</t>
  </si>
  <si>
    <t>1、明确有预付款条款，且约定具体付款期间
2、硬件销售部分100%预付
3、软件销售部分100%预付或**%预付，验收后10日内支付剩余</t>
  </si>
  <si>
    <t>1、无预付条款，或无约定具体付款期间
2、硬件销售部分非100%预付，但无垫资（供应商承担）
3、软件销售部分不满足免上会条件，且非背靠背</t>
  </si>
  <si>
    <t>1、硬件销售部分非100%预付，存在垫资
2、软件销售部分为背靠背</t>
  </si>
  <si>
    <t>1、毛利风险较低：贡毛＞0%，高于基准线；
2、回款风险较低：政府转包项目，总集（易智瑞信息技术有限公司），丰图为第3包，江西省自然资源测绘与监测院为首次合作；
3、售前投入：截止到2026年8月31日，无交付投入；
4、确收方式：终验确收；
5、回款条件：首付款40%，数据交付验收60%（预计26年回40%）</t>
  </si>
  <si>
    <t>上游签约路径公司情况</t>
  </si>
  <si>
    <t>异常经营记录、营业执照、失信名单、与丰图之间是否存在诉讼、被执行记录、行政处罚记录</t>
  </si>
  <si>
    <t>1、无异常记录
2、与丰图无诉讼案件；或诉讼中丰图为第三人，不涉及义务承担
3、无被执行记录；或已执行完毕且与项目无关
4、无处罚记录；或非近三年已履行完毕且与项目无关</t>
  </si>
  <si>
    <t>1、与丰图有诉讼案件，但丰图为第三人涉及义务承担、已判决/和解但款项未完全支付、或已完结
2、有执行纪录，近三年已执行完毕，与项目相关或涉及金钱给付
3、有行政处罚纪录，但近三年已履行完毕且与项目无关或不涉及资质处罚</t>
  </si>
  <si>
    <t>1、存在异常经营记录；营业执照被吊销；列入失信名单；被提起破产清算等
2、与丰图有诉讼案件，且丰图作为原告/被告，未开庭/未和解
3、有执行纪录，且执行中状态；未履行义务；列入失信被执行人
4、有行政处罚纪录，且未履行完毕；涉及资质处罚</t>
  </si>
  <si>
    <t>1、截至20260920，上游与丰图之间不存在诉讼；
2、总集易智瑞近期有被执行记录（2026-08-02，111.28万），商务侧反馈客情较好，总体可控，提请商务侧注意把控回款。</t>
  </si>
  <si>
    <t>转包限制风险</t>
  </si>
  <si>
    <t>客户转包或丰图直签分包限制</t>
  </si>
  <si>
    <t>丰图内部关联交易无需二次评审</t>
  </si>
  <si>
    <t>有背靠背转移风险约定且可转移给供应商</t>
  </si>
  <si>
    <t>背靠背约定但丰图自行交付/供应商无法满足风险转移，违约责任超X万</t>
  </si>
  <si>
    <t>反馈数据为直接交付至最终客户。</t>
  </si>
  <si>
    <t>合规风险</t>
  </si>
  <si>
    <t>甲测/甲导资质风险、审图风险、涉密项目资质风险</t>
  </si>
  <si>
    <t>1. 无风险；
2. 已有管控举措。风险可控，不影响丰图资质。</t>
  </si>
  <si>
    <t>1. 风险存在不确定性；
2. 对资质存在明确影响，但不严重，影响范围可接受。</t>
  </si>
  <si>
    <t>对资质存在明确影响，非常严重，影响范围不可接受。</t>
  </si>
  <si>
    <t>1、不涉及保密资质
2、明确输出哪几个城市POI，给出量级
3、坐标应降低精度提供
4、数据不得涉密、敏感
5、数据输出必须加密，直传最终客户</t>
  </si>
  <si>
    <t>数据</t>
  </si>
  <si>
    <t>数据合规性</t>
  </si>
  <si>
    <t>数据风险等级C1-3</t>
  </si>
  <si>
    <t>数据风险等级C4</t>
  </si>
  <si>
    <t>明确禁止</t>
  </si>
  <si>
    <t>1. 所有资产数据质量以现有成果为准
2. 因涉及全省数据、坐标重点信息，后续出货需要邮件抄送上级、业务部门数据对接人、数据部门相关人员及CTO进行报备</t>
  </si>
  <si>
    <t>数据BP</t>
  </si>
  <si>
    <t>项目关键事项决策 — 信息收集与前置评审表</t>
  </si>
  <si>
    <t>Part A：项目基础信息（由申请人填写-不涉及可直接留/）</t>
  </si>
  <si>
    <t>项目名称</t>
  </si>
  <si>
    <t>项目代码</t>
  </si>
  <si>
    <t>最终客户</t>
  </si>
  <si>
    <t>项目阶段</t>
  </si>
  <si>
    <t>原合同金额（万元）</t>
  </si>
  <si>
    <t>原贡献毛利率（%）</t>
  </si>
  <si>
    <t>决策事项类型</t>
  </si>
  <si>
    <t>决策事项概述</t>
  </si>
  <si>
    <t>涉及 签单与投标决策差异 / 项目成本变动 / 分包变化 时填写</t>
  </si>
  <si>
    <t>变更后合同金额（万元）</t>
  </si>
  <si>
    <t>变更后贡献毛利率（%）</t>
  </si>
  <si>
    <t>原分包金额</t>
  </si>
  <si>
    <t>变更后分包金额</t>
  </si>
  <si>
    <t>原交付成本</t>
  </si>
  <si>
    <t>变更后交付成本</t>
  </si>
  <si>
    <t>原销售成本</t>
  </si>
  <si>
    <t>变更后销售成本</t>
  </si>
  <si>
    <t>是否涉及分包合同超进度支付</t>
  </si>
  <si>
    <t>是 / 否（如有，请说明情况）</t>
  </si>
  <si>
    <t>是否涉及签约路径变化</t>
  </si>
  <si>
    <t>是否涉及交付内容变化</t>
  </si>
  <si>
    <t>财务/法务</t>
  </si>
  <si>
    <t>签单与评审的签约差异</t>
  </si>
  <si>
    <t>签约路径/客户变化但无风险</t>
  </si>
  <si>
    <t>签约路径/客户变化且有风险</t>
  </si>
  <si>
    <t>财务BP/法务</t>
  </si>
  <si>
    <t>项目核减</t>
  </si>
  <si>
    <t>因交付内容减少、考核扣分等合理原因导致的审计核减</t>
  </si>
  <si>
    <t>因化债导致的合同金额核减
因非合理原因导致的核减</t>
  </si>
  <si>
    <t>江西省天地图POI数据服务项目-预算表（项目经理提供数据； 单位：元）</t>
  </si>
  <si>
    <t>所属部门</t>
  </si>
  <si>
    <t>泛政业务一部</t>
  </si>
  <si>
    <t>项目名称（内部）</t>
  </si>
  <si>
    <t>商务经理</t>
  </si>
  <si>
    <t>渠道调节系数</t>
  </si>
  <si>
    <t>所属营销大区</t>
  </si>
  <si>
    <t>华北营销处</t>
  </si>
  <si>
    <t>客户名称</t>
  </si>
  <si>
    <t>/</t>
  </si>
  <si>
    <t>预计开始时间</t>
  </si>
  <si>
    <t>预计终验时间</t>
  </si>
  <si>
    <t>运维周期（质保期）</t>
  </si>
  <si>
    <t>项目难度系数</t>
  </si>
  <si>
    <t>成本测算</t>
  </si>
  <si>
    <t>合同金额</t>
  </si>
  <si>
    <t>项目收入</t>
  </si>
  <si>
    <t>分包采购成本</t>
  </si>
  <si>
    <t>软件类生产外包</t>
  </si>
  <si>
    <t>项目净收入</t>
  </si>
  <si>
    <r>
      <rPr>
        <b/>
        <color rgb="FFFFFFFF"/>
        <rFont val="微软雅黑"/>
        <sz val="10"/>
      </rPr>
      <t xml:space="preserve">交付成本</t>
    </r>
    <r>
      <rPr>
        <b/>
        <color rgb="FFFFFFFF"/>
        <rFont val="微软雅黑"/>
        <sz val="9"/>
      </rPr>
      <t xml:space="preserve">
（含数据类生产外包）</t>
    </r>
  </si>
  <si>
    <t>标品成本</t>
  </si>
  <si>
    <t>毛利/率测算</t>
  </si>
  <si>
    <t>灵活用工</t>
  </si>
  <si>
    <r>
      <rPr>
        <b/>
        <color rgb="FFFFFFFF"/>
        <rFont val="微软雅黑"/>
        <sz val="10"/>
      </rPr>
      <t xml:space="preserve">销售成本</t>
    </r>
    <r>
      <rPr>
        <b/>
        <color rgb="FFFFFFFF"/>
        <rFont val="微软雅黑"/>
        <sz val="9"/>
      </rPr>
      <t xml:space="preserve">
（含税金，不含激励）</t>
    </r>
  </si>
  <si>
    <r>
      <rPr>
        <b/>
        <color rgb="FFFFFFFF"/>
        <rFont val="微软雅黑"/>
        <sz val="10"/>
      </rPr>
      <t xml:space="preserve">销售考核利润</t>
    </r>
    <r>
      <rPr>
        <b/>
        <color rgb="FFFFFFFF"/>
        <rFont val="微软雅黑"/>
        <sz val="9"/>
      </rPr>
      <t xml:space="preserve">
（含税金，不含激励）</t>
    </r>
  </si>
  <si>
    <t>销售考核毛利率</t>
  </si>
  <si>
    <r>
      <rPr>
        <b/>
        <color rgb="FFFFFFFF"/>
        <rFont val="微软雅黑"/>
        <sz val="10"/>
      </rPr>
      <t xml:space="preserve">贡献毛利</t>
    </r>
    <r>
      <rPr>
        <b/>
        <color rgb="FFFFFFFF"/>
        <rFont val="微软雅黑"/>
        <sz val="9"/>
      </rPr>
      <t xml:space="preserve">
（已扣除激励）</t>
    </r>
  </si>
  <si>
    <t>贡献毛利率</t>
  </si>
  <si>
    <r>
      <rPr>
        <b/>
        <color rgb="FFFFFFFF"/>
        <rFont val="微软雅黑"/>
        <sz val="10"/>
      </rPr>
      <t xml:space="preserve">交付成本占净收入比</t>
    </r>
    <r>
      <rPr>
        <b/>
        <color rgb="FFFFFFFF"/>
        <rFont val="微软雅黑"/>
        <sz val="9"/>
      </rPr>
      <t xml:space="preserve">
（与决算偏差±10%以内）</t>
    </r>
  </si>
  <si>
    <t>销售总成本占净收入比</t>
  </si>
  <si>
    <t>成本大类</t>
  </si>
  <si>
    <t>成本小类</t>
  </si>
  <si>
    <t>计算逻辑说明</t>
  </si>
  <si>
    <t>成本小计</t>
  </si>
  <si>
    <t>成本占项目收入比</t>
  </si>
  <si>
    <t>成本评估备注</t>
  </si>
  <si>
    <t>分成分包</t>
  </si>
  <si>
    <t>1、项目集成分包、项目日常运维分包费用
2、定制化软件开发的分包费用
3、技术服务费</t>
  </si>
  <si>
    <t>软件类生产相关的内、外业人员的生产外包人力成本</t>
  </si>
  <si>
    <t>丰图产品不具备交付能力但是从项目层面需要进行包装整合。比如三维建模，BIM数据生产。</t>
  </si>
  <si>
    <t>小创云等灵活用工平台的费用预算</t>
  </si>
  <si>
    <t>从净收入中剔除，即【净收入=收入-分包-软件类生产外包-灵活用工】</t>
  </si>
  <si>
    <t>销售成本</t>
  </si>
  <si>
    <t>人力成本</t>
  </si>
  <si>
    <t>自有人员</t>
  </si>
  <si>
    <t>自有市场营销部人员成本（含销售、解决方案、CMO办公室、招投标组人力成本）</t>
  </si>
  <si>
    <r>
      <rPr>
        <color rgb="FF000000"/>
        <rFont val="微软雅黑"/>
        <sz val="10"/>
      </rPr>
      <t xml:space="preserve">按财务最新发布，</t>
    </r>
    <r>
      <rPr>
        <color rgb="FF000000"/>
        <rFont val="微软雅黑"/>
        <sz val="10"/>
      </rPr>
      <t xml:space="preserve">26年销售人力标准成本</t>
    </r>
    <r>
      <rPr>
        <color rgb="FF000000"/>
        <rFont val="微软雅黑"/>
        <sz val="10"/>
      </rPr>
      <t xml:space="preserve">=净签单/万*1727元。
示例：某项目合同总额500万，分包300万，26年销售人力标准成本=（500-300）*1727=345400元。</t>
    </r>
  </si>
  <si>
    <t>销售费用包</t>
  </si>
  <si>
    <t>差旅费</t>
  </si>
  <si>
    <t>项目客户拜访等发生的差旅（需包含解决方案成本）</t>
  </si>
  <si>
    <t>招待费</t>
  </si>
  <si>
    <t>项目客户拜访等发生的招待费用（需包含解决方案成本）</t>
  </si>
  <si>
    <t>市场营销</t>
  </si>
  <si>
    <t>市场营销费用、投标阶段的专家费等</t>
  </si>
  <si>
    <t>税金</t>
  </si>
  <si>
    <t>税后收入*1％（已设置公式，自动计算）</t>
  </si>
  <si>
    <t>销售及售前激励</t>
  </si>
  <si>
    <r>
      <rPr>
        <b/>
        <color rgb="FF00B050"/>
        <rFont val="微软雅黑"/>
        <sz val="10"/>
      </rPr>
      <t xml:space="preserve">销售考核利润（不含激励）*7.7%（包含销售与售前的激励）
（已设置公式，自动计算）</t>
    </r>
  </si>
  <si>
    <t>*部分银行项目销售及售前激励=销售考核利润（不含激励）*5.7%*0.4</t>
  </si>
  <si>
    <t>交付成本</t>
  </si>
  <si>
    <t>1、用于本项目交付实施的技术架构、研发、产品经理、交付运营、测试、运维等自有员工成本（需包含项目运维成本）</t>
  </si>
  <si>
    <r>
      <rPr>
        <color rgb="FF000000"/>
        <rFont val="微软雅黑"/>
        <sz val="10"/>
      </rPr>
      <t xml:space="preserve">1）</t>
    </r>
    <r>
      <rPr>
        <color rgb="FF000000"/>
        <rFont val="微软雅黑"/>
        <sz val="10"/>
      </rPr>
      <t xml:space="preserve">泛政业务一部26年标准成本</t>
    </r>
    <r>
      <rPr>
        <color rgb="FF000000"/>
        <rFont val="微软雅黑"/>
        <sz val="10"/>
      </rPr>
      <t xml:space="preserve">：
     ①自有人天-交付处：1,696元/天
     ②自有人天-行业拓展处：2303元/天
2）</t>
    </r>
    <r>
      <rPr>
        <color rgb="FF000000"/>
        <rFont val="微软雅黑"/>
        <sz val="10"/>
      </rPr>
      <t xml:space="preserve">企业服务发展部26年标准成本</t>
    </r>
    <r>
      <rPr>
        <color rgb="FF000000"/>
        <rFont val="微软雅黑"/>
        <sz val="10"/>
      </rPr>
      <t xml:space="preserve">：
     ①自有人天-公共服务业务处：2204元/天
     ②自有人天-行业售前方案处：2350元/天
     ③自有人天-企业产品研发处：3001元/天
3）</t>
    </r>
    <r>
      <rPr>
        <color rgb="FF000000"/>
        <rFont val="微软雅黑"/>
        <sz val="10"/>
      </rPr>
      <t xml:space="preserve">基础平台产品部26年标准成本：</t>
    </r>
    <r>
      <rPr>
        <color rgb="FF000000"/>
        <rFont val="微软雅黑"/>
        <sz val="10"/>
      </rPr>
      <t xml:space="preserve">
     ①自有人天-数据产品处：1720元/天
     ②自有人天-智能地图处：1752元/天
     ③自有人天-公共组件处：1374元/天</t>
    </r>
  </si>
  <si>
    <t>研发外包</t>
  </si>
  <si>
    <r>
      <rPr>
        <b/>
        <color rgb="FF00B050"/>
        <rFont val="微软雅黑"/>
        <sz val="10"/>
      </rPr>
      <t xml:space="preserve">1、用于本项目交付实施的项目助理、研发、产品经理、交付运营、测试、运维等外包员工成本</t>
    </r>
  </si>
  <si>
    <r>
      <rPr>
        <color rgb="FF000000"/>
        <rFont val="微软雅黑"/>
        <sz val="10"/>
      </rPr>
      <t xml:space="preserve">1）</t>
    </r>
    <r>
      <rPr>
        <color rgb="FF000000"/>
        <rFont val="微软雅黑"/>
        <sz val="10"/>
      </rPr>
      <t xml:space="preserve">泛政业务一部26年标准成本</t>
    </r>
    <r>
      <rPr>
        <color rgb="FF000000"/>
        <rFont val="微软雅黑"/>
        <sz val="10"/>
      </rPr>
      <t xml:space="preserve">：
     ①研发外包：995元/天；
2）</t>
    </r>
    <r>
      <rPr>
        <color rgb="FF000000"/>
        <rFont val="微软雅黑"/>
        <sz val="10"/>
      </rPr>
      <t xml:space="preserve">企业服务发展部26年标准成本</t>
    </r>
    <r>
      <rPr>
        <color rgb="FF000000"/>
        <rFont val="微软雅黑"/>
        <sz val="10"/>
      </rPr>
      <t xml:space="preserve">：
     ①研发外包：1,022元/人天；</t>
    </r>
  </si>
  <si>
    <t>生产人员成本</t>
  </si>
  <si>
    <t>数据类生产外包</t>
  </si>
  <si>
    <t>数据类生产相关的内、外业人员的生产外包人力成本</t>
  </si>
  <si>
    <t>丰图产品具备交付能力只是用了生产资源来执行交付。比如地址治理，地图生产，数据服务交付运营等</t>
  </si>
  <si>
    <t>差旅招待</t>
  </si>
  <si>
    <t>项目实施人员出差的长途交通费+补助+住宿费（酒店、租房、物业水电费）</t>
  </si>
  <si>
    <t>项目管理费</t>
  </si>
  <si>
    <t>项目经理自有人员人力成本</t>
  </si>
  <si>
    <t>建设期投入5天,1年运维期投入2天</t>
  </si>
  <si>
    <t>差旅、市内交通</t>
  </si>
  <si>
    <t>预留2次出差，一次2500元</t>
  </si>
  <si>
    <t>关键里程碑、验收推动招待费用</t>
  </si>
  <si>
    <t>项目验收</t>
  </si>
  <si>
    <t>项目技术评审专家费等</t>
  </si>
  <si>
    <t>综合办公</t>
  </si>
  <si>
    <t>项目资料打印、资料邮寄、设备邮寄相关的快递费；项目实施需要采购的办公耗材，如插线板、路由器等；办公资产采购等</t>
  </si>
  <si>
    <t>专业服务</t>
  </si>
  <si>
    <t>审计律师费用、顾问费用、其它咨询费用</t>
  </si>
  <si>
    <t>制表人：</t>
  </si>
  <si>
    <t>复核人：</t>
  </si>
  <si>
    <r>
      <rPr>
        <color rgb="FF000000"/>
        <rFont val="微软雅黑"/>
        <sz val="11"/>
      </rPr>
      <t xml:space="preserve">填写说明：</t>
    </r>
    <r>
      <rPr>
        <color rgb="FFF5C400"/>
        <rFont val="微软雅黑"/>
        <sz val="11"/>
      </rPr>
      <t xml:space="preserve">标黄</t>
    </r>
    <r>
      <rPr>
        <color rgb="FF000000"/>
        <rFont val="微软雅黑"/>
        <sz val="11"/>
      </rPr>
      <t xml:space="preserve">的部分为需人工填写，白色区域有公式带出对应数值。</t>
    </r>
  </si>
  <si>
    <t>项目名称：江西省天地图POI数据服务项目</t>
  </si>
  <si>
    <t>合计值</t>
  </si>
  <si>
    <t>解决方案评估</t>
  </si>
  <si>
    <t>标品研发负责人评估</t>
  </si>
  <si>
    <t>1.0 实施阶段- 销售成本</t>
  </si>
  <si>
    <t>1.1  实施阶段- 交付人力成本</t>
  </si>
  <si>
    <t>① 项目经理：</t>
  </si>
  <si>
    <t>② 产品售前岗：</t>
  </si>
  <si>
    <t>③ 产 品 岗：</t>
  </si>
  <si>
    <t>④ 前 端 岗：</t>
  </si>
  <si>
    <t>⑤ 后 端 岗：</t>
  </si>
  <si>
    <t>⑥ 大数据开发岗：</t>
  </si>
  <si>
    <t>⑦ 交 付 岗：</t>
  </si>
  <si>
    <t>⑧ 架 构：</t>
  </si>
  <si>
    <t>⑨ 其他：测试、UI、实施中运维投入</t>
  </si>
  <si>
    <t>⑩ 生产外包-数据类：</t>
  </si>
  <si>
    <t>⑪ 生产外包-软件类：</t>
  </si>
  <si>
    <t>1.2 实施阶段- 交付差旅招待</t>
  </si>
  <si>
    <r>
      <rPr>
        <color rgb="FFC00000"/>
        <rFont val="Microsoft YaHei"/>
        <sz val="10"/>
      </rPr>
      <t xml:space="preserve">★工作量评估负责人</t>
    </r>
    <r>
      <rPr>
        <color rgb="FFC00000"/>
        <rFont val="Microsoft YaHei"/>
        <sz val="10"/>
      </rPr>
      <t xml:space="preserve">
（可补充说明成本评估备注）</t>
    </r>
  </si>
  <si>
    <t>2.0 运维阶段- 销售成本</t>
  </si>
  <si>
    <t>2.1 运维阶段-人力成本：</t>
  </si>
  <si>
    <t>① 项 目 经 理：</t>
  </si>
  <si>
    <t>② 产 研 投 入：</t>
  </si>
  <si>
    <t>③ 生产外包-数据类：</t>
  </si>
  <si>
    <t>④ 生产外包-软件类：</t>
  </si>
  <si>
    <t>2.2 运维阶段-差旅成本</t>
  </si>
  <si>
    <t>按岗位人员投入人数说明</t>
  </si>
  <si>
    <t>标品</t>
  </si>
  <si>
    <t>建设内容</t>
  </si>
  <si>
    <r>
      <rPr>
        <color rgb="FF000000"/>
        <rFont val="Microsoft YaHei"/>
        <sz val="9"/>
      </rPr>
      <t xml:space="preserve">对应标准产品名称</t>
    </r>
    <r>
      <rPr>
        <color rgb="FF000000"/>
        <rFont val="Microsoft YaHei"/>
        <sz val="9"/>
      </rPr>
      <t xml:space="preserve">
（下拉选择）</t>
    </r>
  </si>
  <si>
    <t>建设内容-细分模块</t>
  </si>
  <si>
    <t>具体功能项</t>
  </si>
  <si>
    <t>功能描述</t>
  </si>
  <si>
    <t>最终交付物</t>
  </si>
  <si>
    <t>交付方式</t>
  </si>
  <si>
    <t>是否标品交付</t>
  </si>
  <si>
    <t>销售-人力成本</t>
  </si>
  <si>
    <t>销售-差旅</t>
  </si>
  <si>
    <t>销售-招待费</t>
  </si>
  <si>
    <t>销售-市场营销</t>
  </si>
  <si>
    <r>
      <rPr>
        <color rgb="FF000000"/>
        <rFont val="Microsoft YaHei"/>
        <sz val="9"/>
      </rPr>
      <t xml:space="preserve">实施阶段-</t>
    </r>
    <r>
      <rPr>
        <color rgb="FF000000"/>
        <rFont val="Microsoft YaHei"/>
        <sz val="9"/>
      </rPr>
      <t xml:space="preserve">
人力成本总额</t>
    </r>
  </si>
  <si>
    <r>
      <rPr>
        <color rgb="FF000000"/>
        <rFont val="Microsoft YaHei"/>
        <sz val="9"/>
      </rPr>
      <t xml:space="preserve">① 实施阶段-</t>
    </r>
    <r>
      <rPr>
        <color rgb="FF000000"/>
        <rFont val="Microsoft YaHei"/>
        <sz val="9"/>
      </rPr>
      <t xml:space="preserve">
人力成本总额</t>
    </r>
    <r>
      <rPr>
        <color rgb="FF000000"/>
        <rFont val="Microsoft YaHei"/>
        <sz val="9"/>
      </rPr>
      <t xml:space="preserve">
（项目经理）</t>
    </r>
  </si>
  <si>
    <r>
      <rPr>
        <color rgb="FF000000"/>
        <rFont val="Microsoft YaHei"/>
        <sz val="9"/>
      </rPr>
      <t xml:space="preserve">② 实施阶段-</t>
    </r>
    <r>
      <rPr>
        <color rgb="FF000000"/>
        <rFont val="Microsoft YaHei"/>
        <sz val="9"/>
      </rPr>
      <t xml:space="preserve">
人力成本总额</t>
    </r>
    <r>
      <rPr>
        <color rgb="FF000000"/>
        <rFont val="Microsoft YaHei"/>
        <sz val="9"/>
      </rPr>
      <t xml:space="preserve">
（产研正编）</t>
    </r>
  </si>
  <si>
    <r>
      <rPr>
        <color rgb="FF000000"/>
        <rFont val="Microsoft YaHei"/>
        <sz val="9"/>
      </rPr>
      <t xml:space="preserve">③ 实施阶段-</t>
    </r>
    <r>
      <rPr>
        <color rgb="FF000000"/>
        <rFont val="Microsoft YaHei"/>
        <sz val="9"/>
      </rPr>
      <t xml:space="preserve">
人力成本总额</t>
    </r>
    <r>
      <rPr>
        <color rgb="FF000000"/>
        <rFont val="Microsoft YaHei"/>
        <sz val="9"/>
      </rPr>
      <t xml:space="preserve">
（产研外包）</t>
    </r>
  </si>
  <si>
    <r>
      <rPr>
        <color rgb="FF000000"/>
        <rFont val="Microsoft YaHei"/>
        <sz val="9"/>
      </rPr>
      <t xml:space="preserve">④ 实施阶段-</t>
    </r>
    <r>
      <rPr>
        <color rgb="FF000000"/>
        <rFont val="Microsoft YaHei"/>
        <sz val="9"/>
      </rPr>
      <t xml:space="preserve">
人力成本总额</t>
    </r>
    <r>
      <rPr>
        <color rgb="FF000000"/>
        <rFont val="Microsoft YaHei"/>
        <sz val="9"/>
      </rPr>
      <t xml:space="preserve">
（生产外包）</t>
    </r>
  </si>
  <si>
    <r>
      <rPr>
        <color rgb="FF000000"/>
        <rFont val="Microsoft YaHei"/>
        <sz val="9"/>
      </rPr>
      <t xml:space="preserve">实施阶段-</t>
    </r>
    <r>
      <rPr>
        <color rgb="FF000000"/>
        <rFont val="Microsoft YaHei"/>
        <sz val="9"/>
      </rPr>
      <t xml:space="preserve">
人天汇总</t>
    </r>
    <r>
      <rPr>
        <color rgb="FF000000"/>
        <rFont val="Microsoft YaHei"/>
        <sz val="9"/>
      </rPr>
      <t xml:space="preserve">
（项目经理）</t>
    </r>
  </si>
  <si>
    <r>
      <rPr>
        <color rgb="FF000000"/>
        <rFont val="Microsoft YaHei"/>
        <sz val="9"/>
      </rPr>
      <t xml:space="preserve">实施阶段-</t>
    </r>
    <r>
      <rPr>
        <color rgb="FF000000"/>
        <rFont val="Microsoft YaHei"/>
        <sz val="9"/>
      </rPr>
      <t xml:space="preserve">
人天汇总</t>
    </r>
    <r>
      <rPr>
        <color rgb="FF000000"/>
        <rFont val="Microsoft YaHei"/>
        <sz val="9"/>
      </rPr>
      <t xml:space="preserve">
（产研正编）</t>
    </r>
  </si>
  <si>
    <r>
      <rPr>
        <color rgb="FF000000"/>
        <rFont val="Microsoft YaHei"/>
        <sz val="9"/>
      </rPr>
      <t xml:space="preserve">实施阶段-</t>
    </r>
    <r>
      <rPr>
        <color rgb="FF000000"/>
        <rFont val="Microsoft YaHei"/>
        <sz val="9"/>
      </rPr>
      <t xml:space="preserve">
人天汇总</t>
    </r>
    <r>
      <rPr>
        <color rgb="FF000000"/>
        <rFont val="Microsoft YaHei"/>
        <sz val="9"/>
      </rPr>
      <t xml:space="preserve">
（产研外包）</t>
    </r>
  </si>
  <si>
    <r>
      <rPr>
        <color rgb="FF000000"/>
        <rFont val="Microsoft YaHei"/>
        <sz val="9"/>
      </rPr>
      <t xml:space="preserve">实施阶段-</t>
    </r>
    <r>
      <rPr>
        <color rgb="FF000000"/>
        <rFont val="Microsoft YaHei"/>
        <sz val="9"/>
      </rPr>
      <t xml:space="preserve">
人天汇总</t>
    </r>
    <r>
      <rPr>
        <color rgb="FF000000"/>
        <rFont val="Microsoft YaHei"/>
        <sz val="9"/>
      </rPr>
      <t xml:space="preserve">
（生产外包）</t>
    </r>
  </si>
  <si>
    <r>
      <rPr>
        <color rgb="FF000000"/>
        <rFont val="Microsoft YaHei"/>
        <sz val="9"/>
      </rPr>
      <t xml:space="preserve">项目经理</t>
    </r>
    <r>
      <rPr>
        <color rgb="FF000000"/>
        <rFont val="Microsoft YaHei"/>
        <sz val="9"/>
      </rPr>
      <t xml:space="preserve">
正编人天</t>
    </r>
  </si>
  <si>
    <r>
      <rPr>
        <color rgb="FF000000"/>
        <rFont val="Microsoft YaHei"/>
        <sz val="9"/>
      </rPr>
      <t xml:space="preserve">项目经理</t>
    </r>
    <r>
      <rPr>
        <color rgb="FF000000"/>
        <rFont val="Microsoft YaHei"/>
        <sz val="9"/>
      </rPr>
      <t xml:space="preserve">
正编金额</t>
    </r>
  </si>
  <si>
    <r>
      <rPr>
        <color rgb="FF000000"/>
        <rFont val="Microsoft YaHei"/>
        <sz val="9"/>
      </rPr>
      <t xml:space="preserve">产品售前</t>
    </r>
    <r>
      <rPr>
        <color rgb="FF000000"/>
        <rFont val="Microsoft YaHei"/>
        <sz val="9"/>
      </rPr>
      <t xml:space="preserve">
正编人天</t>
    </r>
  </si>
  <si>
    <r>
      <rPr>
        <color rgb="FF000000"/>
        <rFont val="Microsoft YaHei"/>
        <sz val="9"/>
      </rPr>
      <t xml:space="preserve">产品售前</t>
    </r>
    <r>
      <rPr>
        <color rgb="FF000000"/>
        <rFont val="Microsoft YaHei"/>
        <sz val="9"/>
      </rPr>
      <t xml:space="preserve">
外包人天</t>
    </r>
  </si>
  <si>
    <r>
      <rPr>
        <color rgb="FF000000"/>
        <rFont val="Microsoft YaHei"/>
        <sz val="9"/>
      </rPr>
      <t xml:space="preserve">产品售前</t>
    </r>
    <r>
      <rPr>
        <color rgb="FF000000"/>
        <rFont val="Microsoft YaHei"/>
        <sz val="9"/>
      </rPr>
      <t xml:space="preserve">
正编金额</t>
    </r>
  </si>
  <si>
    <r>
      <rPr>
        <color rgb="FF000000"/>
        <rFont val="Microsoft YaHei"/>
        <sz val="9"/>
      </rPr>
      <t xml:space="preserve">产品售前</t>
    </r>
    <r>
      <rPr>
        <color rgb="FF000000"/>
        <rFont val="Microsoft YaHei"/>
        <sz val="9"/>
      </rPr>
      <t xml:space="preserve">
外包金额</t>
    </r>
  </si>
  <si>
    <r>
      <rPr>
        <color rgb="FF000000"/>
        <rFont val="Microsoft YaHei"/>
        <sz val="9"/>
      </rPr>
      <t xml:space="preserve">产品</t>
    </r>
    <r>
      <rPr>
        <color rgb="FF000000"/>
        <rFont val="Microsoft YaHei"/>
        <sz val="9"/>
      </rPr>
      <t xml:space="preserve">
正编人天</t>
    </r>
  </si>
  <si>
    <r>
      <rPr>
        <color rgb="FF000000"/>
        <rFont val="Microsoft YaHei"/>
        <sz val="9"/>
      </rPr>
      <t xml:space="preserve">产品</t>
    </r>
    <r>
      <rPr>
        <color rgb="FF000000"/>
        <rFont val="Microsoft YaHei"/>
        <sz val="9"/>
      </rPr>
      <t xml:space="preserve">
外包人天</t>
    </r>
  </si>
  <si>
    <r>
      <rPr>
        <color rgb="FF000000"/>
        <rFont val="Microsoft YaHei"/>
        <sz val="9"/>
      </rPr>
      <t xml:space="preserve">产品</t>
    </r>
    <r>
      <rPr>
        <color rgb="FF000000"/>
        <rFont val="Microsoft YaHei"/>
        <sz val="9"/>
      </rPr>
      <t xml:space="preserve">
正编金额</t>
    </r>
  </si>
  <si>
    <r>
      <rPr>
        <color rgb="FF000000"/>
        <rFont val="Microsoft YaHei"/>
        <sz val="9"/>
      </rPr>
      <t xml:space="preserve">产品</t>
    </r>
    <r>
      <rPr>
        <color rgb="FF000000"/>
        <rFont val="Microsoft YaHei"/>
        <sz val="9"/>
      </rPr>
      <t xml:space="preserve">
外包金额</t>
    </r>
  </si>
  <si>
    <r>
      <rPr>
        <color rgb="FF000000"/>
        <rFont val="Microsoft YaHei"/>
        <sz val="9"/>
      </rPr>
      <t xml:space="preserve">前端</t>
    </r>
    <r>
      <rPr>
        <color rgb="FF000000"/>
        <rFont val="Microsoft YaHei"/>
        <sz val="9"/>
      </rPr>
      <t xml:space="preserve">
正编人天</t>
    </r>
  </si>
  <si>
    <r>
      <rPr>
        <color rgb="FF000000"/>
        <rFont val="Microsoft YaHei"/>
        <sz val="9"/>
      </rPr>
      <t xml:space="preserve">前端</t>
    </r>
    <r>
      <rPr>
        <color rgb="FF000000"/>
        <rFont val="Microsoft YaHei"/>
        <sz val="9"/>
      </rPr>
      <t xml:space="preserve">
外包人天</t>
    </r>
  </si>
  <si>
    <r>
      <rPr>
        <color rgb="FF000000"/>
        <rFont val="Microsoft YaHei"/>
        <sz val="9"/>
      </rPr>
      <t xml:space="preserve">前端</t>
    </r>
    <r>
      <rPr>
        <color rgb="FF000000"/>
        <rFont val="Microsoft YaHei"/>
        <sz val="9"/>
      </rPr>
      <t xml:space="preserve">
正编金额</t>
    </r>
  </si>
  <si>
    <r>
      <rPr>
        <color rgb="FF000000"/>
        <rFont val="Microsoft YaHei"/>
        <sz val="9"/>
      </rPr>
      <t xml:space="preserve">前端</t>
    </r>
    <r>
      <rPr>
        <color rgb="FF000000"/>
        <rFont val="Microsoft YaHei"/>
        <sz val="9"/>
      </rPr>
      <t xml:space="preserve">
外包金额</t>
    </r>
  </si>
  <si>
    <r>
      <rPr>
        <color rgb="FF000000"/>
        <rFont val="Microsoft YaHei"/>
        <sz val="9"/>
      </rPr>
      <t xml:space="preserve">后端</t>
    </r>
    <r>
      <rPr>
        <color rgb="FF000000"/>
        <rFont val="Microsoft YaHei"/>
        <sz val="9"/>
      </rPr>
      <t xml:space="preserve">
正编人天</t>
    </r>
  </si>
  <si>
    <r>
      <rPr>
        <color rgb="FF000000"/>
        <rFont val="Microsoft YaHei"/>
        <sz val="9"/>
      </rPr>
      <t xml:space="preserve">后端</t>
    </r>
    <r>
      <rPr>
        <color rgb="FF000000"/>
        <rFont val="Microsoft YaHei"/>
        <sz val="9"/>
      </rPr>
      <t xml:space="preserve">
外包人天</t>
    </r>
  </si>
  <si>
    <r>
      <rPr>
        <color rgb="FF000000"/>
        <rFont val="Microsoft YaHei"/>
        <sz val="9"/>
      </rPr>
      <t xml:space="preserve">后端</t>
    </r>
    <r>
      <rPr>
        <color rgb="FF000000"/>
        <rFont val="Microsoft YaHei"/>
        <sz val="9"/>
      </rPr>
      <t xml:space="preserve">
正编金额</t>
    </r>
  </si>
  <si>
    <r>
      <rPr>
        <color rgb="FF000000"/>
        <rFont val="Microsoft YaHei"/>
        <sz val="9"/>
      </rPr>
      <t xml:space="preserve">后端</t>
    </r>
    <r>
      <rPr>
        <color rgb="FF000000"/>
        <rFont val="Microsoft YaHei"/>
        <sz val="9"/>
      </rPr>
      <t xml:space="preserve">
外包金额</t>
    </r>
  </si>
  <si>
    <r>
      <rPr>
        <color rgb="FF000000"/>
        <rFont val="Microsoft YaHei"/>
        <sz val="9"/>
      </rPr>
      <t xml:space="preserve">大数据开发</t>
    </r>
    <r>
      <rPr>
        <color rgb="FF000000"/>
        <rFont val="Microsoft YaHei"/>
        <sz val="9"/>
      </rPr>
      <t xml:space="preserve">
正编人天</t>
    </r>
  </si>
  <si>
    <r>
      <rPr>
        <color rgb="FF000000"/>
        <rFont val="Microsoft YaHei"/>
        <sz val="9"/>
      </rPr>
      <t xml:space="preserve">大数据开发</t>
    </r>
    <r>
      <rPr>
        <color rgb="FF000000"/>
        <rFont val="Microsoft YaHei"/>
        <sz val="9"/>
      </rPr>
      <t xml:space="preserve">
外包人天</t>
    </r>
  </si>
  <si>
    <r>
      <rPr>
        <color rgb="FF000000"/>
        <rFont val="Microsoft YaHei"/>
        <sz val="9"/>
      </rPr>
      <t xml:space="preserve">大数据开发</t>
    </r>
    <r>
      <rPr>
        <color rgb="FF000000"/>
        <rFont val="Microsoft YaHei"/>
        <sz val="9"/>
      </rPr>
      <t xml:space="preserve">
正编金额</t>
    </r>
  </si>
  <si>
    <r>
      <rPr>
        <color rgb="FF000000"/>
        <rFont val="Microsoft YaHei"/>
        <sz val="9"/>
      </rPr>
      <t xml:space="preserve">大数据开发</t>
    </r>
    <r>
      <rPr>
        <color rgb="FF000000"/>
        <rFont val="Microsoft YaHei"/>
        <sz val="9"/>
      </rPr>
      <t xml:space="preserve">
外包金额</t>
    </r>
  </si>
  <si>
    <r>
      <rPr>
        <color rgb="FF000000"/>
        <rFont val="Microsoft YaHei"/>
        <sz val="9"/>
      </rPr>
      <t xml:space="preserve">交付</t>
    </r>
    <r>
      <rPr>
        <color rgb="FF000000"/>
        <rFont val="Microsoft YaHei"/>
        <sz val="9"/>
      </rPr>
      <t xml:space="preserve">
正编人天</t>
    </r>
  </si>
  <si>
    <r>
      <rPr>
        <color rgb="FF000000"/>
        <rFont val="Microsoft YaHei"/>
        <sz val="9"/>
      </rPr>
      <t xml:space="preserve">交付</t>
    </r>
    <r>
      <rPr>
        <color rgb="FF000000"/>
        <rFont val="Microsoft YaHei"/>
        <sz val="9"/>
      </rPr>
      <t xml:space="preserve">
外包人天</t>
    </r>
  </si>
  <si>
    <r>
      <rPr>
        <color rgb="FF000000"/>
        <rFont val="Microsoft YaHei"/>
        <sz val="9"/>
      </rPr>
      <t xml:space="preserve">交付</t>
    </r>
    <r>
      <rPr>
        <color rgb="FF000000"/>
        <rFont val="Microsoft YaHei"/>
        <sz val="9"/>
      </rPr>
      <t xml:space="preserve">
正编金额</t>
    </r>
  </si>
  <si>
    <r>
      <rPr>
        <color rgb="FF000000"/>
        <rFont val="Microsoft YaHei"/>
        <sz val="9"/>
      </rPr>
      <t xml:space="preserve">交付</t>
    </r>
    <r>
      <rPr>
        <color rgb="FF000000"/>
        <rFont val="Microsoft YaHei"/>
        <sz val="9"/>
      </rPr>
      <t xml:space="preserve">
外包金额</t>
    </r>
  </si>
  <si>
    <r>
      <rPr>
        <color rgb="FF000000"/>
        <rFont val="Microsoft YaHei"/>
        <sz val="9"/>
      </rPr>
      <t xml:space="preserve">架构</t>
    </r>
    <r>
      <rPr>
        <color rgb="FF000000"/>
        <rFont val="Microsoft YaHei"/>
        <sz val="9"/>
      </rPr>
      <t xml:space="preserve">
正编人天</t>
    </r>
  </si>
  <si>
    <r>
      <rPr>
        <color rgb="FF000000"/>
        <rFont val="Microsoft YaHei"/>
        <sz val="9"/>
      </rPr>
      <t xml:space="preserve">架构</t>
    </r>
    <r>
      <rPr>
        <color rgb="FF000000"/>
        <rFont val="Microsoft YaHei"/>
        <sz val="9"/>
      </rPr>
      <t xml:space="preserve">
正编金额</t>
    </r>
  </si>
  <si>
    <r>
      <rPr>
        <color rgb="FF000000"/>
        <rFont val="Microsoft YaHei"/>
        <sz val="9"/>
      </rPr>
      <t xml:space="preserve">其他</t>
    </r>
    <r>
      <rPr>
        <color rgb="FF000000"/>
        <rFont val="Microsoft YaHei"/>
        <sz val="9"/>
      </rPr>
      <t xml:space="preserve">
正编人天</t>
    </r>
  </si>
  <si>
    <r>
      <rPr>
        <color rgb="FF000000"/>
        <rFont val="Microsoft YaHei"/>
        <sz val="9"/>
      </rPr>
      <t xml:space="preserve">其他</t>
    </r>
    <r>
      <rPr>
        <color rgb="FF000000"/>
        <rFont val="Microsoft YaHei"/>
        <sz val="9"/>
      </rPr>
      <t xml:space="preserve">
外包人天</t>
    </r>
  </si>
  <si>
    <r>
      <rPr>
        <color rgb="FF000000"/>
        <rFont val="Microsoft YaHei"/>
        <sz val="9"/>
      </rPr>
      <t xml:space="preserve">其他</t>
    </r>
    <r>
      <rPr>
        <color rgb="FF000000"/>
        <rFont val="Microsoft YaHei"/>
        <sz val="9"/>
      </rPr>
      <t xml:space="preserve">
正编金额</t>
    </r>
  </si>
  <si>
    <r>
      <rPr>
        <color rgb="FF000000"/>
        <rFont val="Microsoft YaHei"/>
        <sz val="9"/>
      </rPr>
      <t xml:space="preserve">其他</t>
    </r>
    <r>
      <rPr>
        <color rgb="FF000000"/>
        <rFont val="Microsoft YaHei"/>
        <sz val="9"/>
      </rPr>
      <t xml:space="preserve">
外包金额</t>
    </r>
  </si>
  <si>
    <r>
      <rPr>
        <color rgb="FF000000"/>
        <rFont val="Microsoft YaHei"/>
        <sz val="9"/>
      </rPr>
      <t xml:space="preserve">生产外包</t>
    </r>
    <r>
      <rPr>
        <color rgb="FF000000"/>
        <rFont val="Microsoft YaHei"/>
        <sz val="9"/>
      </rPr>
      <t xml:space="preserve">
人天</t>
    </r>
  </si>
  <si>
    <r>
      <rPr>
        <color rgb="FF000000"/>
        <rFont val="Microsoft YaHei"/>
        <sz val="9"/>
      </rPr>
      <t xml:space="preserve">生产外包</t>
    </r>
    <r>
      <rPr>
        <color rgb="FF000000"/>
        <rFont val="Microsoft YaHei"/>
        <sz val="9"/>
      </rPr>
      <t xml:space="preserve">
金额</t>
    </r>
  </si>
  <si>
    <r>
      <rPr>
        <color rgb="FF000000"/>
        <rFont val="Microsoft YaHei"/>
        <sz val="9"/>
      </rPr>
      <t xml:space="preserve">实施阶段-</t>
    </r>
    <r>
      <rPr>
        <color rgb="FF000000"/>
        <rFont val="Microsoft YaHei"/>
        <sz val="9"/>
      </rPr>
      <t xml:space="preserve">
差旅成本总额</t>
    </r>
  </si>
  <si>
    <r>
      <rPr>
        <color rgb="FF000000"/>
        <rFont val="Microsoft YaHei"/>
        <sz val="9"/>
      </rPr>
      <t xml:space="preserve">实施阶段-差旅成本</t>
    </r>
    <r>
      <rPr>
        <color rgb="FF000000"/>
        <rFont val="Microsoft YaHei"/>
        <sz val="9"/>
      </rPr>
      <t xml:space="preserve">
项目经理-差旅、市内交通</t>
    </r>
  </si>
  <si>
    <r>
      <rPr>
        <color rgb="FF000000"/>
        <rFont val="Microsoft YaHei"/>
        <sz val="9"/>
      </rPr>
      <t xml:space="preserve">实施阶段-差旅成本</t>
    </r>
    <r>
      <rPr>
        <color rgb="FF000000"/>
        <rFont val="Microsoft YaHei"/>
        <sz val="9"/>
      </rPr>
      <t xml:space="preserve">
项目经理-招待费</t>
    </r>
  </si>
  <si>
    <r>
      <rPr>
        <color rgb="FF000000"/>
        <rFont val="Microsoft YaHei"/>
        <sz val="9"/>
      </rPr>
      <t xml:space="preserve">实施阶段-差旅成本</t>
    </r>
    <r>
      <rPr>
        <color rgb="FF000000"/>
        <rFont val="Microsoft YaHei"/>
        <sz val="9"/>
      </rPr>
      <t xml:space="preserve">
产研（正编+外包）</t>
    </r>
  </si>
  <si>
    <r>
      <rPr>
        <color rgb="FF000000"/>
        <rFont val="Microsoft YaHei"/>
        <sz val="9"/>
      </rPr>
      <t xml:space="preserve">实施阶段-差旅成本</t>
    </r>
    <r>
      <rPr>
        <color rgb="FF000000"/>
        <rFont val="Microsoft YaHei"/>
        <sz val="9"/>
      </rPr>
      <t xml:space="preserve">
生产外包（数据类）</t>
    </r>
  </si>
  <si>
    <r>
      <rPr>
        <color rgb="FF000000"/>
        <rFont val="Microsoft YaHei"/>
        <sz val="9"/>
      </rPr>
      <t xml:space="preserve">实施阶段-差旅成本</t>
    </r>
    <r>
      <rPr>
        <color rgb="FF000000"/>
        <rFont val="Microsoft YaHei"/>
        <sz val="9"/>
      </rPr>
      <t xml:space="preserve">
生产外包（软件类）</t>
    </r>
  </si>
  <si>
    <r>
      <rPr>
        <color rgb="FF000000"/>
        <rFont val="Microsoft YaHei"/>
        <sz val="9"/>
      </rPr>
      <t xml:space="preserve">运维阶段-</t>
    </r>
    <r>
      <rPr>
        <color rgb="FF000000"/>
        <rFont val="Microsoft YaHei"/>
        <sz val="9"/>
      </rPr>
      <t xml:space="preserve">
人力成本总额</t>
    </r>
  </si>
  <si>
    <r>
      <rPr>
        <color rgb="FF000000"/>
        <rFont val="Microsoft YaHei"/>
        <sz val="9"/>
      </rPr>
      <t xml:space="preserve">产研</t>
    </r>
    <r>
      <rPr>
        <color rgb="FF000000"/>
        <rFont val="Microsoft YaHei"/>
        <sz val="9"/>
      </rPr>
      <t xml:space="preserve">
正编人天</t>
    </r>
  </si>
  <si>
    <r>
      <rPr>
        <color rgb="FF000000"/>
        <rFont val="Microsoft YaHei"/>
        <sz val="9"/>
      </rPr>
      <t xml:space="preserve">产研</t>
    </r>
    <r>
      <rPr>
        <color rgb="FF000000"/>
        <rFont val="Microsoft YaHei"/>
        <sz val="9"/>
      </rPr>
      <t xml:space="preserve">
外包人天</t>
    </r>
  </si>
  <si>
    <r>
      <rPr>
        <color rgb="FF000000"/>
        <rFont val="Microsoft YaHei"/>
        <sz val="9"/>
      </rPr>
      <t xml:space="preserve">产研</t>
    </r>
    <r>
      <rPr>
        <color rgb="FF000000"/>
        <rFont val="Microsoft YaHei"/>
        <sz val="9"/>
      </rPr>
      <t xml:space="preserve">
正编金额</t>
    </r>
  </si>
  <si>
    <r>
      <rPr>
        <color rgb="FF000000"/>
        <rFont val="Microsoft YaHei"/>
        <sz val="9"/>
      </rPr>
      <t xml:space="preserve">产研</t>
    </r>
    <r>
      <rPr>
        <color rgb="FF000000"/>
        <rFont val="Microsoft YaHei"/>
        <sz val="9"/>
      </rPr>
      <t xml:space="preserve">
外包金额</t>
    </r>
  </si>
  <si>
    <r>
      <rPr>
        <color rgb="FF000000"/>
        <rFont val="Microsoft YaHei"/>
        <sz val="9"/>
      </rPr>
      <t xml:space="preserve">运维阶段-</t>
    </r>
    <r>
      <rPr>
        <color rgb="FF000000"/>
        <rFont val="Microsoft YaHei"/>
        <sz val="9"/>
      </rPr>
      <t xml:space="preserve">
差旅成本总额</t>
    </r>
  </si>
  <si>
    <r>
      <rPr>
        <color rgb="FF000000"/>
        <rFont val="Microsoft YaHei"/>
        <sz val="9"/>
      </rPr>
      <t xml:space="preserve">运维阶段-差旅成本</t>
    </r>
    <r>
      <rPr>
        <color rgb="FF000000"/>
        <rFont val="Microsoft YaHei"/>
        <sz val="9"/>
      </rPr>
      <t xml:space="preserve">
项目经理-差旅、市内交通</t>
    </r>
  </si>
  <si>
    <r>
      <rPr>
        <color rgb="FF000000"/>
        <rFont val="Microsoft YaHei"/>
        <sz val="9"/>
      </rPr>
      <t xml:space="preserve">运维阶段-差旅成本</t>
    </r>
    <r>
      <rPr>
        <color rgb="FF000000"/>
        <rFont val="Microsoft YaHei"/>
        <sz val="9"/>
      </rPr>
      <t xml:space="preserve">
项目经理-招待费</t>
    </r>
  </si>
  <si>
    <r>
      <rPr>
        <color rgb="FF000000"/>
        <rFont val="Microsoft YaHei"/>
        <sz val="9"/>
      </rPr>
      <t xml:space="preserve">运维阶段-差旅成本</t>
    </r>
    <r>
      <rPr>
        <color rgb="FF000000"/>
        <rFont val="Microsoft YaHei"/>
        <sz val="9"/>
      </rPr>
      <t xml:space="preserve">
产研（正编+外包）</t>
    </r>
  </si>
  <si>
    <r>
      <rPr>
        <color rgb="FF000000"/>
        <rFont val="Microsoft YaHei"/>
        <sz val="9"/>
      </rPr>
      <t xml:space="preserve">运维阶段-差旅成本</t>
    </r>
    <r>
      <rPr>
        <color rgb="FF000000"/>
        <rFont val="Microsoft YaHei"/>
        <sz val="9"/>
      </rPr>
      <t xml:space="preserve">
生产外包（数据类）</t>
    </r>
  </si>
  <si>
    <r>
      <rPr>
        <color rgb="FF000000"/>
        <rFont val="Microsoft YaHei"/>
        <sz val="9"/>
      </rPr>
      <t xml:space="preserve">运维阶段-差旅成本</t>
    </r>
    <r>
      <rPr>
        <color rgb="FF000000"/>
        <rFont val="Microsoft YaHei"/>
        <sz val="9"/>
      </rPr>
      <t xml:space="preserve">
生产外包（软件类）</t>
    </r>
  </si>
  <si>
    <t>人天</t>
  </si>
  <si>
    <t>金额</t>
  </si>
  <si>
    <t>标品成本评估-说明</t>
  </si>
  <si>
    <t>数据服务</t>
  </si>
  <si>
    <t>南昌市POI数据</t>
  </si>
  <si>
    <t>提供全市范围政务兴趣点（12类）：
（1）政府及管理机构：包括各级人民政府、行政服务中心、街道办事处、乡镇政府、各类行政主管部门等，对应机构所在公开门址、楼址；
（2）公检法机构：包括各级人民法院、人民检察院、公安局、派出所、看守所、拘留所等，对应机构所在公开门址、楼址；
（3）宗教社团：包括各类宗教活动场所（寺庙、教堂等）、宗教团体办公机构，对应机构所在公开门址、楼址；
（4）社会福利：包括养老院、福利院、救助站、残疾人服务中心、殡葬服务机构等，对应机构所在公开门址、楼址；
（5）公共服务：包括政务服务大厅、公共厕所、垃圾转运站、社区服务中心、供热供水供电服务网点等，对应服务网点公开的门址、楼址；
（6）商业服务：包括商场、大型超市、酒店、加油站、银行网点、快递网点等，对应经营场所公开的门址、楼址；
（7）住宅设施：包括小区、公寓、别墅、保障性住房等，对应小区门址、住宅楼址；
（8）科教文卫：包括幼儿园、小学、中学、高校、科研院所、图书馆、文化馆、医院、疾控中心、体育馆等，对应机构的公开门址、楼址；
（9）休闲度假：包括公园、广场、游乐园、度假村、露营地等，对应单位公开的门址、楼址；
（10）风景名胜：包括A级景区、历史遗迹、文物保护单位、自然景观景点等，对应景区公开的门址、地址；
（11）企事业单位：包括各类国有企业、民营企业、外资企业、事业单位（非科教文卫类）、社会组织等，对应企事业单位的公开注册地址；
（12）交通运输：包括火车站、汽车站、机场、码头、大型停车场、公路养护站等，对应交通运输设施的公开门址、地址。</t>
  </si>
  <si>
    <t>（1）交付内容
数据字段包括：名称、类型、坐标、地址。
（2）交付指标
政务兴趣点的名称、类型、地址等信息与实际一致，政务兴趣点坐标偏差≤±10米，整体准确率达到90%以上（其中院落、单位等大型兴趣点以不超出边界为准）。
政务兴趣点的门址、楼址标准化率≥90%，正确率≥90%。
政务兴趣点标准化的门址、楼址的四级行政区完整率95%以上。
交付的数据之间重复率不超过5%。
（3）坐标系
成果数据平面基准采用2000国家大地坐标系。
（4）数据格式
GIS矢量格式（如SHP、GDB）。
（4）数据时效性
一次性交付，数据时效性要求为合同签订时间的上一个季度，需与官方最新调整信息保持一致。</t>
  </si>
  <si>
    <t>一次性交付</t>
  </si>
  <si>
    <r>
      <rPr>
        <color rgb="FF000000"/>
        <rFont val="Microsoft YaHei"/>
        <sz val="10"/>
      </rPr>
      <t xml:space="preserve">岗位（正编/外包）：人数+对应投入人天</t>
    </r>
    <r>
      <rPr>
        <color rgb="FF000000"/>
        <rFont val="Microsoft YaHei"/>
        <sz val="10"/>
      </rPr>
      <t xml:space="preserve">
①产品岗：正编投入_人；外包投入_人
②前端岗：正编投入_人；外包投入_人
③后端岗：正编投入_人；外包投入_人
④大数据开发：正编投入_人；外包投入_人
⑤交付岗：正编投入_人
⑥架构岗：正编投入_人；外包投入_人
⑦其他：正编投入_人；外包投入_人
......</t>
    </r>
  </si>
  <si>
    <t>产品、研发：</t>
  </si>
  <si>
    <t>萍乡市POI数据</t>
  </si>
  <si>
    <t>抚州市POI数据</t>
  </si>
  <si>
    <t>赣州市POI数据</t>
  </si>
  <si>
    <t>新余市POI数据</t>
  </si>
  <si>
    <t>提供全市范围政务兴趣点（6类）：
（1）政府及管理机构：包括各级人民政府、行政服务中心、街道办事处、乡镇政府、各类行政主管部门等，对应机构所在公开门址、楼址；
（2）社会福利：包括养老院、福利院、救助站、残疾人服务中心、殡葬服务机构等，对应机构所在公开门址、楼址；
（3）住宅设施：包括小区、公寓、别墅、保障性住房等，对应小区门址、住宅楼址；
（4）科教文卫：包括幼儿园、小学、中学、高校、科研院所、图书馆、文化馆、医院、疾控中心、体育馆等，对应机构的公开门址、楼址；
（5）休闲度假：包括公园、广场、游乐园、度假村、露营地等，对应单位公开的门址、楼址；
（6）交通运输：包括火车站、汽车站、机场、码头、大型停车场、公路养护站等，对应交通运输设施的公开门址、地址。</t>
  </si>
  <si>
    <t>景德镇市POI数据</t>
  </si>
  <si>
    <t>九江市POI数据</t>
  </si>
  <si>
    <t>鹰潭市POI数据</t>
  </si>
  <si>
    <t>吉安市POI数据</t>
  </si>
  <si>
    <t>宜春市POI数据</t>
  </si>
  <si>
    <t>上饶市POI数据</t>
  </si>
  <si>
    <r>
      <rPr>
        <color rgb="FF000000"/>
        <rFont val="Microsoft YaHei"/>
        <sz val="10"/>
      </rPr>
      <t xml:space="preserve">填写说明：
1、</t>
    </r>
    <r>
      <rPr>
        <color rgb="FFDE3C36"/>
        <rFont val="Microsoft YaHei"/>
        <sz val="10"/>
      </rPr>
      <t xml:space="preserve">红色</t>
    </r>
    <r>
      <rPr>
        <color rgb="FF000000"/>
        <rFont val="Microsoft YaHei"/>
        <sz val="10"/>
      </rPr>
      <t xml:space="preserve">部分由解决方案填写，</t>
    </r>
    <r>
      <rPr>
        <color rgb="FF2972F4"/>
        <rFont val="Microsoft YaHei"/>
        <sz val="10"/>
      </rPr>
      <t xml:space="preserve">蓝色</t>
    </r>
    <r>
      <rPr>
        <color rgb="FF000000"/>
        <rFont val="Microsoft YaHei"/>
        <sz val="10"/>
      </rPr>
      <t xml:space="preserve">部分由项目经理填写，</t>
    </r>
    <r>
      <rPr>
        <color rgb="FFF5C400"/>
        <rFont val="Microsoft YaHei"/>
        <sz val="10"/>
      </rPr>
      <t xml:space="preserve">橙色</t>
    </r>
    <r>
      <rPr>
        <color rgb="FF000000"/>
        <rFont val="Microsoft YaHei"/>
        <sz val="10"/>
      </rPr>
      <t xml:space="preserve">部分由交付运营填写，</t>
    </r>
    <r>
      <rPr>
        <color rgb="FF319B62"/>
        <rFont val="Microsoft YaHei"/>
        <sz val="10"/>
      </rPr>
      <t xml:space="preserve">绿色</t>
    </r>
    <r>
      <rPr>
        <color rgb="FF000000"/>
        <rFont val="Microsoft YaHei"/>
        <sz val="10"/>
      </rPr>
      <t xml:space="preserve">部分由产研侧填写
2、总成本=项目经理成本（含差旅）+交付实施成本（含差旅）+标品成本
3、人天单价参考（执行时间：2026年1月1日起）（以下均不区分级别）：
① 自有人天-交付处：1696元/天
    自有人天-数据产品处：1720元/天
    自有人天-智能地图处：1752元/天
    自有人天-公共组件处：1374元/天
    自有人天-公共服务业务处：2204元/天
    自有人天-行业售前方案处：2350元/天
    自有人天-企业产品研发处：3001元/天
②研发外包人员-除企服以外：995元/天
    研发外包人员-企服：1022元/天
③生产外包人员（不区分级别）：320元/天</t>
    </r>
  </si>
  <si>
    <t>POI的当前指标情况</t>
  </si>
  <si>
    <t>覆盖率：80%</t>
  </si>
  <si>
    <t>过期率：30%</t>
  </si>
  <si>
    <t>重复率：10%</t>
  </si>
  <si>
    <t>属性准确率：84%</t>
  </si>
  <si>
    <t>本次目标</t>
  </si>
  <si>
    <t>交付标准</t>
  </si>
  <si>
    <t>系统问题交付兜底后</t>
  </si>
  <si>
    <t>重点类型</t>
  </si>
  <si>
    <t>普通类型：保持覆盖率80%</t>
  </si>
  <si>
    <t>覆盖率大于等于95%</t>
  </si>
  <si>
    <t>普通类型：保持过期率30%</t>
  </si>
  <si>
    <t>普通类型：保持重复率10%</t>
  </si>
  <si>
    <t>普通类型：保持重复率8-9%，兜底1-2点</t>
  </si>
  <si>
    <t>重复率小于等于5%</t>
  </si>
  <si>
    <t>普通类型：保持准确率84%</t>
  </si>
  <si>
    <t>普通类型：分类和门牌不一致等部分数据问题提升，2-3个点左右；只处理12和6类型</t>
  </si>
  <si>
    <t>准确率大于等于90%</t>
  </si>
  <si>
    <t>12类型提取（按照湘东区比例40%）</t>
  </si>
  <si>
    <t>6类型提取（比例20%）</t>
  </si>
  <si>
    <t>江西省POI数据量</t>
  </si>
  <si>
    <t>江西省楼栋名称量</t>
  </si>
  <si>
    <t>按照6万计算，8400</t>
  </si>
  <si>
    <t>重点核实量（按照内蒙1个城市12类型8500左右，6类型6500左右）</t>
  </si>
  <si>
    <t>江西省11个地市</t>
  </si>
  <si>
    <t>重点类型人工核实量</t>
  </si>
  <si>
    <t>正编</t>
  </si>
  <si>
    <t>生产</t>
  </si>
  <si>
    <t>江西省POI数量</t>
  </si>
  <si>
    <t>（1）政府及管理机构：包括各级人民政府、行政服务中心、街道办事处、乡镇政府、各类行政主管部门等，对应机构所在公开门址、楼址；</t>
  </si>
  <si>
    <t>全省类型映射+部分地址的行政区划补充自动化处理+校验</t>
  </si>
  <si>
    <t>全省基础问题修复兜底，如类型错误，门牌不一致等</t>
  </si>
  <si>
    <t>呼和浩特市</t>
  </si>
  <si>
    <t>4个-12个类型-部分重点类型，见右侧清单</t>
  </si>
  <si>
    <t>L1</t>
  </si>
  <si>
    <t>（2）社会福利：包括养老院、福利院、救助站、残疾人服务中心、殡葬服务机构等，对应机构所在公开门址、楼址；</t>
  </si>
  <si>
    <t>重点类型二级类型</t>
  </si>
  <si>
    <t>数量</t>
  </si>
  <si>
    <t>7个-6个类型-部分重点类型，见右侧清单</t>
  </si>
  <si>
    <t>L2</t>
  </si>
  <si>
    <t>（3）住宅设施：包括小区、公寓、别墅、保障性住房等，对应小区门址、住宅楼址；</t>
  </si>
  <si>
    <t>政府及管理机构|公检法机构</t>
  </si>
  <si>
    <t>省/直辖市/自治区政府</t>
  </si>
  <si>
    <t>文档材料编辑及沟通，汇报，管理，交付差旅等</t>
  </si>
  <si>
    <t>L3</t>
  </si>
  <si>
    <t>（4）科教文卫：包括幼儿园、小学、中学、高校、科研院所、图书馆、文化馆、医院、疾控中心、体育馆等，对应机构的公开门址、楼址；</t>
  </si>
  <si>
    <t>政府及管理机构</t>
  </si>
  <si>
    <t>地级市政府</t>
  </si>
  <si>
    <t>（5）休闲度假：包括公园、广场、游乐园、度假村、露营地等，对应单位公开的门址、楼址；</t>
  </si>
  <si>
    <t>区县政府</t>
  </si>
  <si>
    <t>江西省楼栋数量</t>
  </si>
  <si>
    <t>（6）交通运输：包括火车站、汽车站、机场、码头、大型停车场、公路养护站等，对应交通运输设施的公开门址、地址。</t>
  </si>
  <si>
    <t>乡、镇政府</t>
  </si>
  <si>
    <t>国家级政府机关</t>
  </si>
  <si>
    <t>小区有名称</t>
  </si>
  <si>
    <t>省级政府机关</t>
  </si>
  <si>
    <t>园区有名称</t>
  </si>
  <si>
    <t>地级市级政府机关</t>
  </si>
  <si>
    <t>商务楼宇</t>
  </si>
  <si>
    <t>区县级政府机关</t>
  </si>
  <si>
    <t>流程</t>
  </si>
  <si>
    <t>成果</t>
  </si>
  <si>
    <t>成本</t>
  </si>
  <si>
    <t>城中村</t>
  </si>
  <si>
    <t>（2）公检法机构：包括各级人民法院、人民检察院、公安局、派出所、看守所、拘留所等，对应机构所在公开门址、楼址；</t>
  </si>
  <si>
    <t>乡、镇级政府机关</t>
  </si>
  <si>
    <t>初始化交付</t>
  </si>
  <si>
    <t>自动化脚本
初始化+自动化修复成果
初始化质检报告</t>
  </si>
  <si>
    <t>①初始化数据获取：POI库——获取POI和AOI数据，门址库——获取楼栋数据获取
②原始数据处理合并：根据AOI与楼栋的id上下级关系，POI库挂接提取门址库楼栋数据，合并得到各城市初始化数据
（涉及楼栋名称、地址的拼接处理）
③政务兴趣点分类：根据名称关键词+POI代码兜底，开发脚本分类到12大政务兴趣点的二级类型
④地址处理修复：公交站地址处理，含“停运”等字眼处理；地址分列（行政区划列+主体列）+行政区划名称规范处理+点落面更新五级行政区划+无主体名称拼接+重复元素处理
⑤成果质检：质检规则制定+脚本开发，检查明显且可修复的问题（数据重复、分类错误、地址标准化问题等）回到上述环节修复
⑥转成果规格：转交付成果规格和坐标系</t>
  </si>
  <si>
    <t>政府机构</t>
  </si>
  <si>
    <t>（3）宗教社团：包括各类宗教活动场所（寺庙、教堂等）、宗教团体办公机构，对应机构所在公开门址、楼址；</t>
  </si>
  <si>
    <t>公检法机构</t>
  </si>
  <si>
    <t>公安局</t>
  </si>
  <si>
    <t>4城市重点类型补充和人工核实</t>
  </si>
  <si>
    <t>重点类型清单
重点类型名称、地址、坐标成果</t>
  </si>
  <si>
    <t>①情报获取：4城市，覆盖12大类、132细类POI，其中77个预计需通过情报获取完整清单
②自动化获取地址和坐标：坐标挖掘（参考呼和浩特和赤峰20万的poi量，需核实量级16000，自动化按70%）
③人工：检查自动化结果和人工补充地址和坐标（人工核实30%，量级平均单城市4800）
④情报清单和初始化数据去重：优先情报清单中的兴趣点</t>
  </si>
  <si>
    <t>派出所</t>
  </si>
  <si>
    <t>7城市重点类型补充和人工核实</t>
  </si>
  <si>
    <t>①情报获取：7城市，覆盖6大类、80细类POI，其中43个预计需通过情报获取完整清单
②自动化获取地址和坐标：坐标挖掘（参考呼和浩特和赤峰20万的poi量，需核实量级8000，自动化按70%）
③人工：检查自动化结果和人工补充地址和坐标（人工核实30%，量级平均单城市2400）
④情报清单和初始化数据去重：优先情报清单中的兴趣点</t>
  </si>
  <si>
    <t>常态化客户反馈
（数据缺失、数据正确性和数据现势性等问题）</t>
  </si>
  <si>
    <t>问题核实结果和修复解决方案</t>
  </si>
  <si>
    <t>教育</t>
  </si>
  <si>
    <t>（4）社会福利：包括养老院、福利院、救助站、残疾人服务中心、殡葬服务机构等，对应机构所在公开门址、楼址；</t>
  </si>
  <si>
    <t>交警队</t>
  </si>
  <si>
    <t>一次更新</t>
  </si>
  <si>
    <r>
      <rPr>
        <color rgb="FF000000"/>
        <rFont val="宋体"/>
        <sz val="10"/>
      </rPr>
      <t xml:space="preserve">策略：存量数据不下线，</t>
    </r>
    <r>
      <t xml:space="preserve">
</t>
    </r>
    <r>
      <rPr>
        <b/>
        <color rgb="FF000000"/>
        <rFont val="宋体"/>
        <sz val="10"/>
      </rPr>
      <t xml:space="preserve">只差分去重后补充一下库内完全新增的数据进行补充</t>
    </r>
  </si>
  <si>
    <t>不上人工</t>
  </si>
  <si>
    <t>项目验收文档编写</t>
  </si>
  <si>
    <t>医疗</t>
  </si>
  <si>
    <t>（5）公共服务：包括政务服务大厅、公共厕所、垃圾转运站、社区服务中心、供热供水供电服务网点等，对应服务网点公开的门址、楼址；</t>
  </si>
  <si>
    <t>法院</t>
  </si>
  <si>
    <t>人天合计</t>
  </si>
  <si>
    <t>交付成本合计：</t>
  </si>
  <si>
    <t>商业</t>
  </si>
  <si>
    <t>（6）商业服务：包括商场、大型超市、酒店、加油站、银行网点、快递网点等，对应经营场所公开的门址、楼址；</t>
  </si>
  <si>
    <t>检察院</t>
  </si>
  <si>
    <t>（7）住宅设施：包括小区、公寓、别墅、保障性住房等，对应小区门址、住宅楼址；</t>
  </si>
  <si>
    <t>休闲度假</t>
  </si>
  <si>
    <t>公园</t>
  </si>
  <si>
    <t>（8）科教文卫：包括幼儿园、小学、中学、高校、科研院所、图书馆、文化馆、医院、疾控中心、体育馆等，对应机构的公开门址、楼址；</t>
  </si>
  <si>
    <t>广场</t>
  </si>
  <si>
    <t>（9）休闲度假：包括公园、广场、游乐园、度假村、露营地等，对应单位公开的门址、楼址；</t>
  </si>
  <si>
    <t>动物园</t>
  </si>
  <si>
    <t>（10）风景名胜：包括A级景区、历史遗迹、文物保护单位、自然景观景点等，对应景区公开的门址、地址；</t>
  </si>
  <si>
    <t>植物园</t>
  </si>
  <si>
    <t>（11）企事业单位：包括各类国有企业、民营企业、外资企业、事业单位（非科教文卫类）、社会组织等，对应企事业单位的公开注册地址；</t>
  </si>
  <si>
    <t>商业服务</t>
  </si>
  <si>
    <t>商业综合体</t>
  </si>
  <si>
    <t>（12）交通运输：包括火车站、汽车站、机场、码头、大型停车场、公路养护站等，对应交通运输设施的公开门址、地址。</t>
  </si>
  <si>
    <t>科教文卫</t>
  </si>
  <si>
    <t>小学</t>
  </si>
  <si>
    <t>中学</t>
  </si>
  <si>
    <t>中专/职高/技校</t>
  </si>
  <si>
    <t>高等院校</t>
  </si>
  <si>
    <t>图书馆</t>
  </si>
  <si>
    <t>博物馆、纪念馆、展览馆、陈列馆</t>
  </si>
  <si>
    <t>综合医院</t>
  </si>
  <si>
    <t>露天体育场</t>
  </si>
  <si>
    <t>风景名胜</t>
  </si>
  <si>
    <t>交通运输</t>
  </si>
  <si>
    <t>火车站</t>
  </si>
  <si>
    <t>客运汽车站</t>
  </si>
  <si>
    <t>机场</t>
  </si>
  <si>
    <t>填写责任人：解决方案
前置输入项：交付成本清单（功能项需映射标准产品名称）</t>
  </si>
  <si>
    <t>一、产品份额表</t>
  </si>
  <si>
    <t>项目名称：</t>
  </si>
  <si>
    <t>产品名称</t>
  </si>
  <si>
    <t>产品刊例价（元）</t>
  </si>
  <si>
    <t>产品报价（元）</t>
  </si>
  <si>
    <r>
      <rPr>
        <color rgb="FFFFFFFF"/>
        <rFont val="Microsoft YaHei"/>
        <sz val="10"/>
      </rPr>
      <t xml:space="preserve">产品折扣</t>
    </r>
    <r>
      <rPr>
        <color rgb="FFF2F2F2"/>
        <rFont val="Microsoft YaHei"/>
        <sz val="10"/>
      </rPr>
      <t xml:space="preserve">（=D/C）</t>
    </r>
  </si>
  <si>
    <t>产品交付成本（元）</t>
  </si>
  <si>
    <t>产品交付总人天</t>
  </si>
  <si>
    <t>产品毛利</t>
  </si>
  <si>
    <t>说明</t>
  </si>
  <si>
    <t>注：</t>
  </si>
  <si>
    <t>从已有的标准产品清单目录中选择</t>
  </si>
  <si>
    <t>参考标准报价</t>
  </si>
  <si>
    <t>建设方案报价单金额</t>
  </si>
  <si>
    <t>=产品报价/产品刊例价</t>
  </si>
  <si>
    <t>基于实施成本分拆，总成本&lt;=实施总成本</t>
  </si>
  <si>
    <t>交付成本人天数</t>
  </si>
  <si>
    <t>（=1-产品交付成本/（产品报价/1.06））</t>
  </si>
  <si>
    <t>特殊折扣说明</t>
  </si>
  <si>
    <t>统一地址运营</t>
  </si>
  <si>
    <t>项目定制</t>
  </si>
  <si>
    <t>项目分包</t>
  </si>
  <si>
    <t>固定行</t>
  </si>
  <si>
    <t>项目合计</t>
  </si>
  <si>
    <t>项目金额汇总</t>
  </si>
  <si>
    <t>交付成本汇总</t>
  </si>
  <si>
    <t>交付人天汇总</t>
  </si>
  <si>
    <t>项目毛利
（注：不含销售成本/项目经理/项目管理成本等）</t>
  </si>
  <si>
    <t>注：此处项目毛利≠项目贡毛（不含销售成本/项目经理/项目管理成本等）</t>
  </si>
  <si>
    <t>二、产品细项表</t>
  </si>
  <si>
    <t>注：标品份额细拆（产品功能模块、刊例价、报价、折扣、功能模块说明）</t>
  </si>
  <si>
    <t>标准产品明细</t>
  </si>
  <si>
    <t>产品模块</t>
  </si>
  <si>
    <t>产品刊例价</t>
  </si>
  <si>
    <t>产品报价</t>
  </si>
  <si>
    <t>产品折扣</t>
  </si>
  <si>
    <t>产品交付总成本</t>
  </si>
  <si>
    <t>产品交付-产研人天（正编+外包）</t>
  </si>
  <si>
    <t>产品交付-生产外包人天</t>
  </si>
  <si>
    <t>标准产品方案的明细拆分</t>
  </si>
  <si>
    <t>=产品金额/产品刊例价</t>
  </si>
  <si>
    <t>1-1</t>
  </si>
  <si>
    <t>地址标准化治理工程</t>
  </si>
  <si>
    <t>1-2</t>
  </si>
  <si>
    <t>地址资源运营平台</t>
  </si>
  <si>
    <t>地址服务平台</t>
  </si>
  <si>
    <t>1-3</t>
  </si>
  <si>
    <t>数据更新服务</t>
  </si>
  <si>
    <t>2-1</t>
  </si>
  <si>
    <t>2-2</t>
  </si>
  <si>
    <t>运维阶段起止时间</t>
  </si>
  <si>
    <t>运维阶段总成本</t>
  </si>
  <si>
    <t>对应标准产品名称
（下拉选择）</t>
  </si>
  <si>
    <r>
      <rPr>
        <color rgb="FF000000"/>
        <rFont val="Microsoft YaHei"/>
        <sz val="10"/>
      </rPr>
      <t xml:space="preserve">填写说明：
1、</t>
    </r>
    <r>
      <rPr>
        <color rgb="FFDE3C36"/>
        <rFont val="Microsoft YaHei"/>
        <sz val="10"/>
      </rPr>
      <t xml:space="preserve">红色</t>
    </r>
    <r>
      <rPr>
        <color rgb="FF000000"/>
        <rFont val="Microsoft YaHei"/>
        <sz val="10"/>
      </rPr>
      <t xml:space="preserve">部分由解决方案填写，</t>
    </r>
    <r>
      <rPr>
        <color rgb="FF2972F4"/>
        <rFont val="Microsoft YaHei"/>
        <sz val="10"/>
      </rPr>
      <t xml:space="preserve">蓝色</t>
    </r>
    <r>
      <rPr>
        <color rgb="FF000000"/>
        <rFont val="Microsoft YaHei"/>
        <sz val="10"/>
      </rPr>
      <t xml:space="preserve">部分由项目经理填写，</t>
    </r>
    <r>
      <rPr>
        <color rgb="FFF5C400"/>
        <rFont val="Microsoft YaHei"/>
        <sz val="10"/>
      </rPr>
      <t xml:space="preserve">橙色</t>
    </r>
    <r>
      <rPr>
        <color rgb="FF000000"/>
        <rFont val="Microsoft YaHei"/>
        <sz val="10"/>
      </rPr>
      <t xml:space="preserve">部分由交付运营填写，</t>
    </r>
    <r>
      <rPr>
        <color rgb="FF319B62"/>
        <rFont val="Microsoft YaHei"/>
        <sz val="10"/>
      </rPr>
      <t xml:space="preserve">绿色</t>
    </r>
    <r>
      <rPr>
        <color rgb="FF000000"/>
        <rFont val="Microsoft YaHei"/>
        <sz val="10"/>
      </rPr>
      <t xml:space="preserve">部分由产研侧填写
2、总成本=项目经理成本（含差旅）+交付实施成本（含差旅）+标品成本
3、人天单价参考（执行时间：2025年7月1日起）：
①产研自有人天（不区分级别）：1750元/天；
②研发外包人员（不区分级别）：890元/天；
③生产外包人员（不区分级别）：320元/天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</si>
</sst>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0.0_ "/>
    <numFmt numFmtId="166" formatCode="_ * #,##0_ ;_ * \-#,##0_ ;_ * &quot;-&quot;_ ;_ @_ "/>
    <numFmt numFmtId="167" formatCode="#,##0.00_ "/>
    <numFmt numFmtId="168" formatCode="yyyy/m/d;@"/>
    <numFmt numFmtId="169" formatCode="0.0%"/>
  </numFmts>
  <fonts count="14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Microsoft YaHei"/>
    </font>
    <font>
      <sz val="10"/>
      <color rgb="FF000000"/>
      <name val="宋体"/>
    </font>
    <font>
      <b/>
      <sz val="10"/>
      <color rgb="FF000000"/>
      <name val="Microsoft YaHei"/>
    </font>
    <font>
      <b/>
      <sz val="10"/>
      <color rgb="FFFFFFFF"/>
      <name val="微软雅黑"/>
    </font>
    <font>
      <b/>
      <sz val="11"/>
      <color rgb="FFFFFFFF"/>
      <name val="微软雅黑"/>
    </font>
    <font>
      <b/>
      <sz val="10"/>
      <color rgb="FF000000"/>
      <name val="微软雅黑"/>
    </font>
    <font>
      <sz val="11"/>
      <color rgb="FF000000"/>
      <name val="微软雅黑"/>
    </font>
    <font>
      <sz val="10"/>
      <color rgb="FF000000"/>
      <name val="微软雅黑"/>
    </font>
    <font>
      <b/>
      <sz val="10"/>
      <color rgb="FFFFFFFF"/>
      <name val="Microsoft YaHei"/>
    </font>
    <font>
      <b/>
      <sz val="12"/>
      <color rgb="FFFFFFFF"/>
      <name val="微软雅黑"/>
    </font>
    <font>
      <b/>
      <sz val="9"/>
      <color rgb="FF000000"/>
      <name val="Microsoft YaHei"/>
    </font>
    <font>
      <sz val="10"/>
      <color rgb="FF2972F4"/>
      <name val="Microsoft YaHei"/>
    </font>
    <font>
      <sz val="10"/>
      <color rgb="FFFF0000"/>
      <name val="Microsoft YaHei"/>
    </font>
    <font>
      <i/>
      <sz val="10"/>
      <color rgb="FF000000"/>
      <name val="Microsoft YaHei"/>
    </font>
    <font>
      <b/>
      <sz val="10"/>
      <color rgb="FFFF0000"/>
      <name val="Microsoft YaHei"/>
    </font>
    <font>
      <b/>
      <sz val="14"/>
      <color rgb="FF000000"/>
      <name val="Microsoft YaHei"/>
    </font>
    <font>
      <b/>
      <i/>
      <u/>
      <sz val="10"/>
      <color rgb="FF000000"/>
      <name val="Microsoft YaHei"/>
    </font>
    <font>
      <b/>
      <i/>
      <sz val="9"/>
      <color rgb="FF000000"/>
      <name val="Microsoft YaHei"/>
    </font>
    <font>
      <sz val="11"/>
      <color rgb="FF000000"/>
      <name val="Microsoft YaHei"/>
    </font>
    <font>
      <sz val="11"/>
      <color rgb="FF0070C0"/>
      <name val="微软雅黑"/>
    </font>
    <font>
      <b/>
      <sz val="10"/>
      <color rgb="FFFFFFFF"/>
      <name val="宋体"/>
    </font>
    <font>
      <sz val="10"/>
      <color rgb="FF0070C0"/>
      <name val="Microsoft YaHei"/>
    </font>
    <font>
      <sz val="10"/>
      <color rgb="FF0070C0"/>
      <name val="宋体"/>
    </font>
    <font>
      <sz val="10"/>
      <color rgb="FFFF0000"/>
      <name val="微软雅黑"/>
    </font>
    <font>
      <b/>
      <sz val="10"/>
      <color rgb="FF485368"/>
      <name val="宋体"/>
    </font>
    <font>
      <b/>
      <sz val="10"/>
      <color rgb="FF000000"/>
      <name val="宋体"/>
    </font>
    <font>
      <b/>
      <sz val="11"/>
      <color rgb="FF000000"/>
      <name val="微软雅黑"/>
    </font>
    <font>
      <sz val="10"/>
      <color rgb="FF000000"/>
      <name val="等线"/>
    </font>
    <font>
      <b/>
      <sz val="10"/>
      <color rgb="FF000000"/>
      <name val="等线"/>
    </font>
    <font>
      <sz val="9"/>
      <color rgb="FF000000"/>
      <name val="Microsoft YaHei"/>
    </font>
    <font>
      <sz val="10"/>
      <color rgb="FFFF0000"/>
      <name val="宋体"/>
    </font>
    <font>
      <i/>
      <sz val="9"/>
      <color rgb="FF000000"/>
      <name val="Microsoft YaHei"/>
    </font>
    <font>
      <b/>
      <i/>
      <u/>
      <sz val="12"/>
      <color rgb="FF000000"/>
      <name val="Microsoft YaHei"/>
    </font>
    <font>
      <b/>
      <sz val="10"/>
      <color rgb="FFC00000"/>
      <name val="Microsoft YaHei"/>
    </font>
    <font>
      <sz val="12"/>
      <color rgb="FF000000"/>
      <name val="微软雅黑"/>
    </font>
    <font>
      <sz val="10"/>
      <color rgb="FF2972F4"/>
      <name val="微软雅黑"/>
    </font>
    <font>
      <b/>
      <sz val="10"/>
      <color rgb="FFC00000"/>
      <name val="微软雅黑"/>
    </font>
    <font>
      <b/>
      <sz val="10"/>
      <color rgb="FF00B050"/>
      <name val="微软雅黑"/>
    </font>
    <font>
      <sz val="10"/>
      <color rgb="FF0070C0"/>
      <name val="微软雅黑"/>
    </font>
    <font>
      <sz val="10"/>
      <color rgb="FF939393"/>
      <name val="微软雅黑"/>
    </font>
    <font>
      <b/>
      <sz val="10"/>
      <color rgb="FFFF0000"/>
      <name val="微软雅黑"/>
    </font>
    <font>
      <b/>
      <sz val="16"/>
      <color rgb="FFFFFFFF"/>
      <name val="微软雅黑"/>
    </font>
    <font>
      <b/>
      <sz val="10"/>
      <color rgb="FF1F3864"/>
      <name val="微软雅黑"/>
    </font>
    <font>
      <b/>
      <sz val="9"/>
      <color rgb="FFFFFFFF"/>
      <name val="微软雅黑"/>
    </font>
    <font>
      <b/>
      <sz val="8"/>
      <color rgb="FF2E5F8A"/>
      <name val="微软雅黑"/>
    </font>
    <font>
      <sz val="9"/>
      <color rgb="FF000000"/>
      <name val="微软雅黑"/>
    </font>
    <font>
      <b/>
      <sz val="9"/>
      <color rgb="FF000000"/>
      <name val="微软雅黑"/>
    </font>
    <font>
      <sz val="8"/>
      <color rgb="FF000000"/>
      <name val="微软雅黑"/>
    </font>
    <font>
      <sz val="8"/>
      <color rgb="FF548235"/>
      <name val="微软雅黑"/>
    </font>
    <font>
      <sz val="8"/>
      <color rgb="FFBF8F00"/>
      <name val="微软雅黑"/>
    </font>
    <font>
      <sz val="8"/>
      <color rgb="FFC00000"/>
      <name val="微软雅黑"/>
    </font>
    <font>
      <sz val="8"/>
      <color rgb="FF666666"/>
      <name val="微软雅黑"/>
    </font>
    <font>
      <b/>
      <sz val="18"/>
      <color rgb="FFFFFFFF"/>
      <name val="微软雅黑"/>
    </font>
    <font>
      <sz val="10"/>
      <color rgb="FF2E5F8A"/>
      <name val="微软雅黑"/>
    </font>
    <font>
      <b/>
      <sz val="13"/>
      <color rgb="FFFFFFFF"/>
      <name val="微软雅黑"/>
    </font>
    <font>
      <b/>
      <sz val="12"/>
      <color rgb="FF1F3864"/>
      <name val="微软雅黑"/>
    </font>
    <font>
      <b/>
      <sz val="9"/>
      <color rgb="FFC00000"/>
      <name val="微软雅黑"/>
    </font>
    <font>
      <b/>
      <sz val="9"/>
      <color rgb="FF2E5F8A"/>
      <name val="微软雅黑"/>
    </font>
    <font>
      <sz val="12"/>
      <color rgb="FF000000"/>
      <name val="等线"/>
    </font>
    <font>
      <sz val="10"/>
      <color rgb="FF000000"/>
      <name val="default"/>
    </font>
    <font>
      <b/>
      <sz val="11"/>
      <color rgb="FF000000"/>
      <name val="宋体"/>
    </font>
    <font>
      <b/>
      <strike/>
      <sz val="16"/>
      <color rgb="FFFFFFFF"/>
      <name val="微软雅黑"/>
    </font>
    <font>
      <sz val="10"/>
      <color rgb="FF000000"/>
      <name val="微软雅黑"/>
    </font>
    <font>
      <sz val="9"/>
      <color rgb="FF000000"/>
      <name val="微软雅黑"/>
    </font>
    <font>
      <sz val="10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10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10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sz val="8"/>
      <color rgb="FFC00000"/>
      <name val="微软雅黑"/>
    </font>
    <font>
      <sz val="10"/>
      <color rgb="FF000000"/>
      <name val="default"/>
    </font>
    <font>
      <b/>
      <sz val="9"/>
      <color rgb="FFFFFFFF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sz val="8"/>
      <color rgb="FF548235"/>
      <name val="微软雅黑"/>
    </font>
    <font>
      <sz val="8"/>
      <color rgb="FF548235"/>
      <name val="微软雅黑"/>
    </font>
    <font>
      <sz val="8"/>
      <color rgb="FFBF8F00"/>
      <name val="微软雅黑"/>
    </font>
    <font>
      <sz val="8"/>
      <color rgb="FFC00000"/>
      <name val="微软雅黑"/>
    </font>
    <font>
      <sz val="11"/>
      <color rgb="FF000000"/>
      <name val="宋体"/>
    </font>
    <font>
      <sz val="8"/>
      <color rgb="FF548235"/>
      <name val="微软雅黑"/>
    </font>
    <font>
      <sz val="8"/>
      <color rgb="FFBF8F00"/>
      <name val="微软雅黑"/>
    </font>
    <font>
      <sz val="8"/>
      <color rgb="FFC00000"/>
      <name val="微软雅黑"/>
    </font>
    <font>
      <sz val="11"/>
      <color rgb="FF000000"/>
      <name val="宋体"/>
    </font>
    <font>
      <sz val="8"/>
      <color rgb="FF548235"/>
      <name val="微软雅黑"/>
    </font>
    <font>
      <sz val="8"/>
      <color rgb="FFBF8F00"/>
      <name val="微软雅黑"/>
    </font>
    <font>
      <sz val="11"/>
      <color rgb="FF000000"/>
      <name val="宋体"/>
    </font>
    <font>
      <sz val="11"/>
      <color rgb="FF000000"/>
      <name val="宋体"/>
    </font>
    <font>
      <b/>
      <sz val="9"/>
      <color rgb="FFFFFFFF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b/>
      <sz val="9"/>
      <color rgb="FFFFFFFF"/>
      <name val="微软雅黑"/>
    </font>
    <font>
      <sz val="8"/>
      <color rgb="FFBF8F00"/>
      <name val="微软雅黑"/>
    </font>
    <font>
      <b/>
      <sz val="10"/>
      <color rgb="FF00B050"/>
      <name val="微软雅黑"/>
    </font>
    <font>
      <sz val="9"/>
      <color rgb="FF000000"/>
      <name val="Microsoft YaHei"/>
    </font>
    <font>
      <sz val="10"/>
      <color rgb="FFFF0000"/>
      <name val="宋体"/>
    </font>
    <font>
      <sz val="9"/>
      <color rgb="FF000000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b/>
      <sz val="10"/>
      <color rgb="FF000000"/>
      <name val="等线"/>
    </font>
    <font>
      <sz val="10"/>
      <color rgb="FF000000"/>
      <name val="等线"/>
    </font>
    <font>
      <sz val="10"/>
      <color rgb="FF0070C0"/>
      <name val="微软雅黑"/>
    </font>
    <font>
      <b/>
      <sz val="10"/>
      <color rgb="FF485368"/>
      <name val="宋体"/>
    </font>
    <font>
      <b/>
      <sz val="9"/>
      <color rgb="FF000000"/>
      <name val="Microsoft YaHei"/>
    </font>
  </fonts>
  <fills count="3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1859B"/>
      </patternFill>
    </fill>
    <fill>
      <patternFill patternType="solid">
        <fgColor rgb="FF485368"/>
      </patternFill>
    </fill>
    <fill>
      <patternFill patternType="solid">
        <fgColor rgb="FF2972F4"/>
      </patternFill>
    </fill>
    <fill>
      <patternFill patternType="solid">
        <fgColor rgb="FFFFC9C7"/>
      </patternFill>
    </fill>
    <fill>
      <patternFill patternType="solid">
        <fgColor rgb="FFC3EAD5"/>
      </patternFill>
    </fill>
    <fill>
      <patternFill patternType="solid">
        <fgColor rgb="FFFFEEAD"/>
      </patternFill>
    </fill>
    <fill>
      <patternFill patternType="solid">
        <fgColor rgb="FFFDEBFF"/>
      </patternFill>
    </fill>
    <fill>
      <patternFill patternType="solid">
        <fgColor rgb="FFFFF3EB"/>
      </patternFill>
    </fill>
    <fill>
      <patternFill patternType="solid">
        <fgColor rgb="FFF2F2F2"/>
      </patternFill>
    </fill>
    <fill>
      <patternFill patternType="solid">
        <fgColor rgb="FFE5F6FF"/>
      </patternFill>
    </fill>
    <fill>
      <patternFill patternType="solid">
        <fgColor rgb="FFE5EFFF"/>
      </patternFill>
    </fill>
    <fill>
      <patternFill patternType="solid">
        <fgColor rgb="FFFFF9E3"/>
      </patternFill>
    </fill>
    <fill>
      <patternFill patternType="solid">
        <fgColor rgb="FF2F5597"/>
      </patternFill>
    </fill>
    <fill>
      <patternFill patternType="solid">
        <fgColor rgb="FFD8D8D8"/>
      </patternFill>
    </fill>
    <fill>
      <patternFill patternType="solid">
        <fgColor rgb="FFB8CCE4"/>
      </patternFill>
    </fill>
    <fill>
      <patternFill patternType="solid">
        <fgColor rgb="FFFCC102"/>
      </patternFill>
    </fill>
    <fill>
      <patternFill patternType="solid">
        <fgColor rgb="FFFFFF00"/>
      </patternFill>
    </fill>
    <fill>
      <patternFill patternType="solid">
        <fgColor rgb="FFF2C7FF"/>
      </patternFill>
    </fill>
    <fill>
      <patternFill patternType="solid">
        <fgColor rgb="FFFFE9E8"/>
      </patternFill>
    </fill>
    <fill>
      <patternFill patternType="solid">
        <fgColor rgb="FFEAFAF1"/>
      </patternFill>
    </fill>
    <fill>
      <patternFill patternType="solid">
        <fgColor rgb="FFF3F5F7"/>
      </patternFill>
    </fill>
    <fill>
      <patternFill patternType="solid">
        <fgColor rgb="FFE5E0EC"/>
      </patternFill>
    </fill>
    <fill>
      <patternFill patternType="solid">
        <fgColor rgb="FFF2DBDB"/>
      </patternFill>
    </fill>
    <fill>
      <patternFill patternType="solid">
        <fgColor rgb="FF1F3864"/>
      </patternFill>
    </fill>
    <fill>
      <patternFill patternType="solid">
        <fgColor rgb="FF2E5F8A"/>
      </patternFill>
    </fill>
    <fill>
      <patternFill patternType="solid">
        <fgColor rgb="FFD6E4F0"/>
      </patternFill>
    </fill>
    <fill>
      <patternFill patternType="solid">
        <fgColor rgb="FFEBF1DD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EDF2F9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C00000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dotted">
        <color rgb="FF939393"/>
      </right>
      <top style="medium">
        <color rgb="FF000000"/>
      </top>
      <bottom style="dotted">
        <color rgb="FF939393"/>
      </bottom>
      <diagonal/>
    </border>
    <border>
      <left style="dotted">
        <color rgb="FF939393"/>
      </left>
      <right style="dotted">
        <color rgb="FF939393"/>
      </right>
      <top style="medium">
        <color rgb="FF000000"/>
      </top>
      <bottom style="dotted">
        <color rgb="FF939393"/>
      </bottom>
      <diagonal/>
    </border>
    <border>
      <left style="medium">
        <color rgb="FF000000"/>
      </left>
      <right style="dotted">
        <color rgb="FF939393"/>
      </right>
      <top style="dotted">
        <color rgb="FF939393"/>
      </top>
      <bottom style="dotted">
        <color rgb="FF939393"/>
      </bottom>
      <diagonal/>
    </border>
    <border>
      <left style="dotted">
        <color rgb="FF939393"/>
      </left>
      <right style="dotted">
        <color rgb="FF939393"/>
      </right>
      <top style="dotted">
        <color rgb="FF939393"/>
      </top>
      <bottom style="dotted">
        <color rgb="FF939393"/>
      </bottom>
      <diagonal/>
    </border>
    <border>
      <left style="dotted">
        <color rgb="FF939393"/>
      </left>
      <right/>
      <top style="dotted">
        <color rgb="FF939393"/>
      </top>
      <bottom style="dotted">
        <color rgb="FF939393"/>
      </bottom>
      <diagonal/>
    </border>
    <border>
      <left style="medium">
        <color rgb="FF000000"/>
      </left>
      <right style="dotted">
        <color rgb="FF939393"/>
      </right>
      <top style="dotted">
        <color rgb="FF939393"/>
      </top>
      <bottom/>
      <diagonal/>
    </border>
    <border>
      <left style="medium">
        <color rgb="FF000000"/>
      </left>
      <right style="dotted">
        <color rgb="FF939393"/>
      </right>
      <top/>
      <bottom/>
      <diagonal/>
    </border>
    <border>
      <left style="medium">
        <color rgb="FF000000"/>
      </left>
      <right style="dotted">
        <color rgb="FF939393"/>
      </right>
      <top/>
      <bottom style="dotted">
        <color rgb="FF939393"/>
      </bottom>
      <diagonal/>
    </border>
    <border>
      <left style="medium">
        <color rgb="FF000000"/>
      </left>
      <right style="dashed">
        <color rgb="FF7F7F7F"/>
      </right>
      <top/>
      <bottom style="medium">
        <color rgb="FF000000"/>
      </bottom>
      <diagonal/>
    </border>
    <border>
      <left style="dashed">
        <color rgb="FF7F7F7F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ashed">
        <color rgb="FF7F7F7F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tted">
        <color rgb="FF939393"/>
      </left>
      <right style="medium">
        <color rgb="FF000000"/>
      </right>
      <top style="medium">
        <color rgb="FF000000"/>
      </top>
      <bottom style="dotted">
        <color rgb="FF939393"/>
      </bottom>
      <diagonal/>
    </border>
    <border>
      <left style="dotted">
        <color rgb="FF939393"/>
      </left>
      <right style="medium">
        <color rgb="FF000000"/>
      </right>
      <top style="dotted">
        <color rgb="FF939393"/>
      </top>
      <bottom style="dotted">
        <color rgb="FF939393"/>
      </bottom>
      <diagonal/>
    </border>
    <border>
      <left/>
      <right style="medium">
        <color rgb="FF000000"/>
      </right>
      <top style="dotted">
        <color rgb="FF939393"/>
      </top>
      <bottom style="dotted">
        <color rgb="FF939393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B4B4B4"/>
      </right>
      <top style="thin">
        <color rgb="FF000000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000000"/>
      </top>
      <bottom style="thin">
        <color rgb="FFB4B4B4"/>
      </bottom>
      <diagonal/>
    </border>
    <border>
      <left style="thin">
        <color rgb="FF000000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/>
      <top style="thin">
        <color rgb="FFB4B4B4"/>
      </top>
      <bottom/>
      <diagonal/>
    </border>
    <border>
      <left/>
      <right/>
      <top style="thin">
        <color rgb="FFB4B4B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B4B4B4"/>
      </bottom>
      <diagonal/>
    </border>
    <border>
      <left/>
      <right/>
      <top style="medium">
        <color rgb="FF000000"/>
      </top>
      <bottom style="thin">
        <color rgb="FFB4B4B4"/>
      </bottom>
      <diagonal/>
    </border>
    <border>
      <left style="medium">
        <color rgb="FF000000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medium">
        <color rgb="FF000000"/>
      </left>
      <right style="thin">
        <color rgb="FFB4B4B4"/>
      </right>
      <top style="thin">
        <color rgb="FFB4B4B4"/>
      </top>
      <bottom style="medium">
        <color rgb="FF000000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medium">
        <color rgb="FF000000"/>
      </bottom>
      <diagonal/>
    </border>
    <border>
      <left style="thin">
        <color rgb="FFB4B4B4"/>
      </left>
      <right/>
      <top style="thin">
        <color rgb="FFB4B4B4"/>
      </top>
      <bottom style="medium">
        <color rgb="FF000000"/>
      </bottom>
      <diagonal/>
    </border>
    <border>
      <left/>
      <right/>
      <top style="thin">
        <color rgb="FFB4B4B4"/>
      </top>
      <bottom style="medium">
        <color rgb="FF000000"/>
      </bottom>
      <diagonal/>
    </border>
    <border>
      <left style="thin">
        <color rgb="FFB4B4B4"/>
      </left>
      <right style="thin">
        <color rgb="FF000000"/>
      </right>
      <top style="thin">
        <color rgb="FF000000"/>
      </top>
      <bottom style="thin">
        <color rgb="FFB4B4B4"/>
      </bottom>
      <diagonal/>
    </border>
    <border>
      <left/>
      <right style="thin">
        <color rgb="FF000000"/>
      </right>
      <top/>
      <bottom/>
      <diagonal/>
    </border>
    <border>
      <left style="thin">
        <color rgb="FFB4B4B4"/>
      </left>
      <right style="thin">
        <color rgb="FF000000"/>
      </right>
      <top style="thin">
        <color rgb="FFB4B4B4"/>
      </top>
      <bottom style="thin">
        <color rgb="FFB4B4B4"/>
      </bottom>
      <diagonal/>
    </border>
    <border>
      <left/>
      <right style="thin">
        <color rgb="FF000000"/>
      </right>
      <top style="thin">
        <color rgb="FFB4B4B4"/>
      </top>
      <bottom style="thin">
        <color rgb="FFB4B4B4"/>
      </bottom>
      <diagonal/>
    </border>
    <border>
      <left/>
      <right style="thin">
        <color rgb="FF000000"/>
      </right>
      <top style="thin">
        <color rgb="FFB4B4B4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B4B4B4"/>
      </bottom>
      <diagonal/>
    </border>
    <border>
      <left/>
      <right style="medium">
        <color rgb="FF000000"/>
      </right>
      <top style="thin">
        <color rgb="FFB4B4B4"/>
      </top>
      <bottom style="thin">
        <color rgb="FFB4B4B4"/>
      </bottom>
      <diagonal/>
    </border>
    <border>
      <left/>
      <right style="medium">
        <color rgb="FF000000"/>
      </right>
      <top style="thin">
        <color rgb="FFB4B4B4"/>
      </top>
      <bottom style="medium">
        <color rgb="FF000000"/>
      </bottom>
      <diagonal/>
    </border>
    <border>
      <left style="thin">
        <color rgb="FF000000"/>
      </left>
      <right style="thin">
        <color rgb="FFB4B4B4"/>
      </right>
      <top style="thin">
        <color rgb="FFB4B4B4"/>
      </top>
      <bottom style="thin">
        <color rgb="FF000000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000000"/>
      </bottom>
      <diagonal/>
    </border>
    <border>
      <left style="thin">
        <color rgb="FFB4B4B4"/>
      </left>
      <right style="thin">
        <color rgb="FF000000"/>
      </right>
      <top style="thin">
        <color rgb="FFB4B4B4"/>
      </top>
      <bottom style="thin">
        <color rgb="FF000000"/>
      </bottom>
      <diagonal/>
    </border>
    <border>
      <left style="thin">
        <color rgb="FFB4B4B4"/>
      </left>
      <right/>
      <top style="thin">
        <color rgb="FFB4B4B4"/>
      </top>
      <bottom style="thin">
        <color rgb="FF000000"/>
      </bottom>
      <diagonal/>
    </border>
    <border>
      <left/>
      <right/>
      <top style="thin">
        <color rgb="FFB4B4B4"/>
      </top>
      <bottom style="thin">
        <color rgb="FF000000"/>
      </bottom>
      <diagonal/>
    </border>
    <border>
      <left/>
      <right style="thin">
        <color rgb="FF000000"/>
      </right>
      <top style="thin">
        <color rgb="FFB4B4B4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0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general" vertical="center"/>
    </xf>
    <xf numFmtId="0" fontId="6" fillId="0" borderId="0" xfId="0" applyFont="1">
      <alignment horizontal="general" vertical="center"/>
    </xf>
    <xf numFmtId="0" fontId="6" fillId="0" borderId="0" xfId="0" applyFont="1">
      <alignment horizontal="center" vertical="center"/>
    </xf>
    <xf numFmtId="0" fontId="7" fillId="0" borderId="0" xfId="0" applyFont="1">
      <alignment horizontal="general" vertical="center"/>
    </xf>
    <xf numFmtId="0" fontId="8" fillId="2" borderId="0" xfId="0" applyFont="1" applyFill="1">
      <alignment horizontal="general" vertical="center"/>
    </xf>
    <xf numFmtId="0" fontId="9" fillId="3" borderId="1" xfId="0" applyFont="1" applyFill="1" applyBorder="1" applyProtection="1">
      <alignment horizontal="center" vertical="center"/>
    </xf>
    <xf numFmtId="0" fontId="10" fillId="3" borderId="2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12" fillId="0" borderId="4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10" fillId="3" borderId="5" xfId="0" applyFont="1" applyFill="1" applyBorder="1" applyProtection="1">
      <alignment horizontal="center" vertical="center"/>
    </xf>
    <xf numFmtId="164" fontId="11" fillId="0" borderId="1" xfId="0" applyNumberFormat="1" applyFont="1" applyBorder="1" applyProtection="1">
      <alignment horizontal="center" vertical="center"/>
    </xf>
    <xf numFmtId="165" fontId="14" fillId="4" borderId="6" xfId="0" applyNumberFormat="1" applyFont="1" applyFill="1" applyBorder="1" applyProtection="1">
      <alignment horizontal="right" vertical="center"/>
    </xf>
    <xf numFmtId="0" fontId="5" fillId="0" borderId="6" xfId="0" applyFont="1" applyBorder="1" applyProtection="1">
      <alignment horizontal="general" vertical="center"/>
    </xf>
    <xf numFmtId="0" fontId="5" fillId="0" borderId="7" xfId="0" applyFont="1" applyBorder="1" applyProtection="1">
      <alignment horizontal="general" vertical="center"/>
    </xf>
    <xf numFmtId="3" fontId="15" fillId="5" borderId="6" xfId="0" applyNumberFormat="1" applyFont="1" applyFill="1" applyBorder="1" applyProtection="1">
      <alignment horizontal="right" vertical="center"/>
    </xf>
    <xf numFmtId="0" fontId="8" fillId="0" borderId="8" xfId="0" applyFont="1" applyBorder="1" applyProtection="1">
      <alignment horizontal="center" vertical="center"/>
    </xf>
    <xf numFmtId="0" fontId="8" fillId="6" borderId="8" xfId="0" applyFont="1" applyFill="1" applyBorder="1" applyProtection="1">
      <alignment horizontal="center" vertical="center"/>
    </xf>
    <xf numFmtId="0" fontId="5" fillId="0" borderId="8" xfId="0" applyFont="1" applyBorder="1" applyProtection="1">
      <alignment horizontal="general" vertical="center"/>
    </xf>
    <xf numFmtId="0" fontId="5" fillId="0" borderId="9" xfId="0" applyFont="1" applyBorder="1" applyProtection="1">
      <alignment horizontal="general" vertical="center"/>
    </xf>
    <xf numFmtId="49" fontId="16" fillId="6" borderId="9" xfId="0" applyNumberFormat="1" applyFont="1" applyFill="1" applyBorder="1" applyProtection="1">
      <alignment horizontal="center" vertical="center" wrapText="1"/>
    </xf>
    <xf numFmtId="0" fontId="16" fillId="6" borderId="9" xfId="0" applyFont="1" applyFill="1" applyBorder="1" applyProtection="1">
      <alignment horizontal="center" vertical="center" wrapText="1"/>
    </xf>
    <xf numFmtId="0" fontId="16" fillId="6" borderId="9" xfId="0" applyFont="1" applyFill="1" applyBorder="1" applyProtection="1">
      <alignment horizontal="center" vertical="center"/>
    </xf>
    <xf numFmtId="0" fontId="17" fillId="0" borderId="9" xfId="0" applyFont="1" applyBorder="1" applyProtection="1">
      <alignment horizontal="center" vertical="center"/>
    </xf>
    <xf numFmtId="49" fontId="18" fillId="0" borderId="9" xfId="0" applyNumberFormat="1" applyFont="1" applyBorder="1" applyProtection="1">
      <alignment horizontal="center" vertical="center" wrapText="1"/>
    </xf>
    <xf numFmtId="0" fontId="13" fillId="0" borderId="9" xfId="0" applyFont="1" applyBorder="1" applyProtection="1">
      <alignment horizontal="general" vertical="center"/>
    </xf>
    <xf numFmtId="0" fontId="18" fillId="0" borderId="9" xfId="0" applyFont="1" applyBorder="1" applyProtection="1">
      <alignment horizontal="center" vertical="center"/>
    </xf>
    <xf numFmtId="0" fontId="18" fillId="0" borderId="9" xfId="0" applyFont="1" applyBorder="1" applyProtection="1">
      <alignment horizontal="general" vertical="center" wrapText="1"/>
    </xf>
    <xf numFmtId="49" fontId="18" fillId="0" borderId="9" xfId="0" applyNumberFormat="1" applyFont="1" applyBorder="1" applyProtection="1">
      <alignment horizontal="general" vertical="center"/>
    </xf>
    <xf numFmtId="0" fontId="18" fillId="0" borderId="9" xfId="0" applyFont="1" applyBorder="1" applyProtection="1">
      <alignment horizontal="general" vertical="center"/>
    </xf>
    <xf numFmtId="0" fontId="19" fillId="0" borderId="9" xfId="0" applyFont="1" applyBorder="1" applyProtection="1">
      <alignment horizontal="general" vertical="center" wrapText="1"/>
    </xf>
    <xf numFmtId="0" fontId="6" fillId="0" borderId="0" xfId="0" applyFont="1">
      <alignment horizontal="general" vertical="bottom"/>
    </xf>
    <xf numFmtId="0" fontId="7" fillId="0" borderId="0" xfId="0" applyFont="1">
      <alignment horizontal="general" vertical="bottom"/>
    </xf>
    <xf numFmtId="0" fontId="6" fillId="0" borderId="9" xfId="0" applyFont="1" applyBorder="1" applyProtection="1">
      <alignment horizontal="general" vertical="top" wrapText="1"/>
    </xf>
    <xf numFmtId="0" fontId="20" fillId="0" borderId="0" xfId="0" applyFont="1">
      <alignment horizontal="general" vertical="center"/>
    </xf>
    <xf numFmtId="0" fontId="5" fillId="0" borderId="10" xfId="0" applyFont="1" applyBorder="1" applyProtection="1">
      <alignment horizontal="general" vertical="center"/>
    </xf>
    <xf numFmtId="164" fontId="14" fillId="4" borderId="6" xfId="0" applyNumberFormat="1" applyFont="1" applyFill="1" applyBorder="1" applyProtection="1">
      <alignment horizontal="center" vertical="center" wrapText="1"/>
    </xf>
    <xf numFmtId="164" fontId="14" fillId="4" borderId="7" xfId="0" applyNumberFormat="1" applyFont="1" applyFill="1" applyBorder="1" applyProtection="1">
      <alignment horizontal="center" vertical="center" wrapText="1"/>
    </xf>
    <xf numFmtId="164" fontId="14" fillId="4" borderId="11" xfId="0" applyNumberFormat="1" applyFont="1" applyFill="1" applyBorder="1" applyProtection="1">
      <alignment horizontal="center" vertical="center" wrapText="1"/>
    </xf>
    <xf numFmtId="164" fontId="14" fillId="4" borderId="12" xfId="0" applyNumberFormat="1" applyFont="1" applyFill="1" applyBorder="1" applyProtection="1">
      <alignment horizontal="center" vertical="bottom" wrapText="1"/>
    </xf>
    <xf numFmtId="0" fontId="8" fillId="7" borderId="13" xfId="0" applyFont="1" applyFill="1" applyBorder="1" applyProtection="1">
      <alignment horizontal="left" vertical="center" wrapText="1"/>
    </xf>
    <xf numFmtId="0" fontId="21" fillId="8" borderId="14" xfId="0" applyFont="1" applyFill="1" applyBorder="1" applyProtection="1">
      <alignment horizontal="left" vertical="center" wrapText="1"/>
    </xf>
    <xf numFmtId="0" fontId="5" fillId="0" borderId="14" xfId="0" applyFont="1" applyBorder="1" applyProtection="1">
      <alignment horizontal="general" vertical="center"/>
    </xf>
    <xf numFmtId="0" fontId="8" fillId="7" borderId="9" xfId="0" applyFont="1" applyFill="1" applyBorder="1" applyProtection="1">
      <alignment horizontal="left" vertical="center"/>
    </xf>
    <xf numFmtId="0" fontId="22" fillId="7" borderId="9" xfId="0" applyFont="1" applyFill="1" applyBorder="1" applyProtection="1">
      <alignment horizontal="left" vertical="bottom" wrapText="1"/>
    </xf>
    <xf numFmtId="0" fontId="16" fillId="7" borderId="9" xfId="0" applyFont="1" applyFill="1" applyBorder="1" applyProtection="1">
      <alignment horizontal="center" vertical="center" wrapText="1"/>
    </xf>
    <xf numFmtId="0" fontId="23" fillId="7" borderId="9" xfId="0" applyFont="1" applyFill="1" applyBorder="1" applyProtection="1">
      <alignment horizontal="right" vertical="bottom" wrapText="1"/>
    </xf>
    <xf numFmtId="164" fontId="6" fillId="0" borderId="9" xfId="0" applyNumberFormat="1" applyFont="1" applyBorder="1" applyProtection="1">
      <alignment horizontal="center" vertical="center"/>
    </xf>
    <xf numFmtId="164" fontId="6" fillId="0" borderId="8" xfId="0" applyNumberFormat="1" applyFont="1" applyBorder="1" applyProtection="1">
      <alignment horizontal="center" vertical="center"/>
    </xf>
    <xf numFmtId="164" fontId="6" fillId="9" borderId="8" xfId="0" applyNumberFormat="1" applyFont="1" applyFill="1" applyBorder="1" applyProtection="1">
      <alignment horizontal="center" vertical="center"/>
    </xf>
    <xf numFmtId="164" fontId="6" fillId="10" borderId="8" xfId="0" applyNumberFormat="1" applyFont="1" applyFill="1" applyBorder="1" applyProtection="1">
      <alignment horizontal="center" vertical="center"/>
    </xf>
    <xf numFmtId="164" fontId="6" fillId="9" borderId="9" xfId="0" applyNumberFormat="1" applyFont="1" applyFill="1" applyBorder="1" applyProtection="1">
      <alignment horizontal="center" vertical="center"/>
    </xf>
    <xf numFmtId="164" fontId="6" fillId="10" borderId="9" xfId="0" applyNumberFormat="1" applyFont="1" applyFill="1" applyBorder="1" applyProtection="1">
      <alignment horizontal="center" vertical="center"/>
    </xf>
    <xf numFmtId="0" fontId="19" fillId="0" borderId="0" xfId="0" applyFont="1">
      <alignment horizontal="general" vertical="center"/>
    </xf>
    <xf numFmtId="164" fontId="14" fillId="4" borderId="12" xfId="0" applyNumberFormat="1" applyFont="1" applyFill="1" applyBorder="1" applyProtection="1">
      <alignment horizontal="center" vertical="center" wrapText="1"/>
    </xf>
    <xf numFmtId="0" fontId="8" fillId="7" borderId="9" xfId="0" applyFont="1" applyFill="1" applyBorder="1" applyProtection="1">
      <alignment horizontal="left" vertical="center" wrapText="1"/>
    </xf>
    <xf numFmtId="0" fontId="16" fillId="7" borderId="15" xfId="0" applyFont="1" applyFill="1" applyBorder="1" applyProtection="1">
      <alignment horizontal="center" vertical="center" wrapText="1"/>
    </xf>
    <xf numFmtId="164" fontId="6" fillId="11" borderId="8" xfId="0" applyNumberFormat="1" applyFont="1" applyFill="1" applyBorder="1" applyProtection="1">
      <alignment horizontal="center" vertical="center"/>
    </xf>
    <xf numFmtId="164" fontId="6" fillId="11" borderId="13" xfId="0" applyNumberFormat="1" applyFont="1" applyFill="1" applyBorder="1" applyProtection="1">
      <alignment horizontal="center" vertical="center"/>
    </xf>
    <xf numFmtId="164" fontId="6" fillId="9" borderId="13" xfId="0" applyNumberFormat="1" applyFont="1" applyFill="1" applyBorder="1" applyProtection="1">
      <alignment horizontal="center" vertical="center"/>
    </xf>
    <xf numFmtId="164" fontId="6" fillId="11" borderId="9" xfId="0" applyNumberFormat="1" applyFont="1" applyFill="1" applyBorder="1" applyProtection="1">
      <alignment horizontal="center" vertical="center"/>
    </xf>
    <xf numFmtId="164" fontId="6" fillId="9" borderId="16" xfId="0" applyNumberFormat="1" applyFont="1" applyFill="1" applyBorder="1" applyProtection="1">
      <alignment horizontal="center" vertical="center"/>
    </xf>
    <xf numFmtId="0" fontId="14" fillId="4" borderId="7" xfId="0" applyFont="1" applyFill="1" applyBorder="1" applyProtection="1">
      <alignment horizontal="center" vertical="center" wrapText="1"/>
    </xf>
    <xf numFmtId="0" fontId="8" fillId="12" borderId="15" xfId="0" applyFont="1" applyFill="1" applyBorder="1" applyProtection="1">
      <alignment horizontal="center" vertical="center"/>
    </xf>
    <xf numFmtId="0" fontId="16" fillId="7" borderId="8" xfId="0" applyFont="1" applyFill="1" applyBorder="1" applyProtection="1">
      <alignment horizontal="center" vertical="center" wrapText="1"/>
    </xf>
    <xf numFmtId="0" fontId="5" fillId="0" borderId="17" xfId="0" applyFont="1" applyBorder="1" applyProtection="1">
      <alignment horizontal="general" vertical="center"/>
    </xf>
    <xf numFmtId="164" fontId="6" fillId="13" borderId="9" xfId="0" applyNumberFormat="1" applyFont="1" applyFill="1" applyBorder="1" applyProtection="1">
      <alignment horizontal="center" vertical="center"/>
    </xf>
    <xf numFmtId="164" fontId="6" fillId="13" borderId="17" xfId="0" applyNumberFormat="1" applyFont="1" applyFill="1" applyBorder="1" applyProtection="1">
      <alignment horizontal="center" vertical="center"/>
    </xf>
    <xf numFmtId="0" fontId="6" fillId="12" borderId="17" xfId="0" applyFont="1" applyFill="1" applyBorder="1" applyProtection="1">
      <alignment horizontal="left" vertical="top" wrapText="1"/>
    </xf>
    <xf numFmtId="0" fontId="24" fillId="0" borderId="0" xfId="0" applyFont="1">
      <alignment horizontal="general" vertical="center"/>
    </xf>
    <xf numFmtId="0" fontId="25" fillId="0" borderId="0" xfId="0" applyFont="1">
      <alignment horizontal="left" vertical="center"/>
    </xf>
    <xf numFmtId="0" fontId="25" fillId="0" borderId="0" xfId="0" applyFont="1">
      <alignment horizontal="left" vertical="center" wrapText="1"/>
    </xf>
    <xf numFmtId="0" fontId="11" fillId="0" borderId="0" xfId="0" applyFont="1">
      <alignment horizontal="left" vertical="center"/>
    </xf>
    <xf numFmtId="0" fontId="11" fillId="0" borderId="0" xfId="0" applyFont="1">
      <alignment horizontal="center" vertical="center"/>
    </xf>
    <xf numFmtId="0" fontId="11" fillId="14" borderId="9" xfId="0" applyFont="1" applyFill="1" applyBorder="1" applyProtection="1">
      <alignment horizontal="left" vertical="center"/>
    </xf>
    <xf numFmtId="0" fontId="9" fillId="15" borderId="9" xfId="0" applyFont="1" applyFill="1" applyBorder="1" applyProtection="1">
      <alignment horizontal="center" vertical="center"/>
    </xf>
    <xf numFmtId="0" fontId="26" fillId="15" borderId="9" xfId="0" applyFont="1" applyFill="1" applyBorder="1" applyProtection="1">
      <alignment horizontal="center" vertical="center"/>
    </xf>
    <xf numFmtId="0" fontId="26" fillId="15" borderId="9" xfId="0" applyFont="1" applyFill="1" applyBorder="1" applyProtection="1">
      <alignment horizontal="center" vertical="center" wrapText="1"/>
    </xf>
    <xf numFmtId="0" fontId="27" fillId="0" borderId="9" xfId="0" applyFont="1" applyBorder="1" applyProtection="1">
      <alignment horizontal="center" vertical="center"/>
    </xf>
    <xf numFmtId="0" fontId="28" fillId="0" borderId="9" xfId="0" applyFont="1" applyBorder="1" applyProtection="1">
      <alignment horizontal="center" vertical="center" wrapText="1"/>
    </xf>
    <xf numFmtId="0" fontId="28" fillId="0" borderId="9" xfId="0" applyFont="1" applyBorder="1" applyProtection="1">
      <alignment horizontal="center" vertical="center"/>
    </xf>
    <xf numFmtId="49" fontId="28" fillId="0" borderId="9" xfId="0" applyNumberFormat="1" applyFont="1" applyBorder="1" applyProtection="1">
      <alignment horizontal="center" vertical="center" wrapText="1"/>
    </xf>
    <xf numFmtId="0" fontId="28" fillId="0" borderId="9" xfId="0" applyFont="1" applyBorder="1" applyProtection="1">
      <alignment horizontal="general" vertical="center" wrapText="1"/>
    </xf>
    <xf numFmtId="0" fontId="13" fillId="0" borderId="9" xfId="0" applyFont="1" applyBorder="1" applyProtection="1">
      <alignment horizontal="center" vertical="center"/>
    </xf>
    <xf numFmtId="166" fontId="13" fillId="0" borderId="9" xfId="0" applyNumberFormat="1" applyFont="1" applyBorder="1" applyProtection="1">
      <alignment horizontal="center" vertical="center"/>
    </xf>
    <xf numFmtId="10" fontId="13" fillId="0" borderId="9" xfId="0" applyNumberFormat="1" applyFont="1" applyBorder="1" applyProtection="1">
      <alignment horizontal="center" vertical="center"/>
    </xf>
    <xf numFmtId="166" fontId="29" fillId="0" borderId="9" xfId="0" applyNumberFormat="1" applyFont="1" applyBorder="1" applyProtection="1">
      <alignment horizontal="general" vertical="center"/>
    </xf>
    <xf numFmtId="166" fontId="13" fillId="0" borderId="9" xfId="0" applyNumberFormat="1" applyFont="1" applyBorder="1" applyProtection="1">
      <alignment horizontal="general" vertical="center"/>
    </xf>
    <xf numFmtId="0" fontId="30" fillId="16" borderId="9" xfId="0" applyFont="1" applyFill="1" applyBorder="1" applyProtection="1">
      <alignment horizontal="center" vertical="center"/>
    </xf>
    <xf numFmtId="0" fontId="30" fillId="16" borderId="9" xfId="0" applyFont="1" applyFill="1" applyBorder="1" applyProtection="1">
      <alignment horizontal="center" vertical="center" wrapText="1"/>
    </xf>
    <xf numFmtId="0" fontId="6" fillId="0" borderId="9" xfId="0" applyFont="1" applyBorder="1" applyProtection="1">
      <alignment horizontal="general" vertical="center"/>
    </xf>
    <xf numFmtId="0" fontId="6" fillId="0" borderId="9" xfId="0" applyFont="1" applyBorder="1" applyProtection="1">
      <alignment horizontal="center" vertical="center"/>
    </xf>
    <xf numFmtId="166" fontId="6" fillId="0" borderId="9" xfId="0" applyNumberFormat="1" applyFont="1" applyBorder="1" applyProtection="1">
      <alignment horizontal="center" vertical="center"/>
    </xf>
    <xf numFmtId="166" fontId="6" fillId="0" borderId="9" xfId="0" applyNumberFormat="1" applyFont="1" applyBorder="1" applyProtection="1">
      <alignment horizontal="general" vertical="center"/>
    </xf>
    <xf numFmtId="10" fontId="6" fillId="0" borderId="9" xfId="0" applyNumberFormat="1" applyFont="1" applyBorder="1" applyProtection="1">
      <alignment horizontal="center" vertical="center"/>
    </xf>
    <xf numFmtId="0" fontId="31" fillId="0" borderId="0" xfId="0" applyFont="1">
      <alignment horizontal="general" vertical="center"/>
    </xf>
    <xf numFmtId="49" fontId="6" fillId="0" borderId="9" xfId="0" applyNumberFormat="1" applyFont="1" applyBorder="1" applyProtection="1">
      <alignment horizontal="center" vertical="center"/>
    </xf>
    <xf numFmtId="166" fontId="18" fillId="0" borderId="9" xfId="0" applyNumberFormat="1" applyFont="1" applyBorder="1" applyProtection="1">
      <alignment horizontal="general" vertical="center"/>
    </xf>
    <xf numFmtId="0" fontId="32" fillId="17" borderId="9" xfId="0" applyFont="1" applyFill="1" applyBorder="1" applyProtection="1">
      <alignment horizontal="center" vertical="center"/>
    </xf>
    <xf numFmtId="0" fontId="33" fillId="0" borderId="0" xfId="0" applyFont="1">
      <alignment horizontal="center" vertical="center"/>
    </xf>
    <xf numFmtId="0" fontId="33" fillId="0" borderId="0" xfId="0" applyFont="1">
      <alignment horizontal="general" vertical="center"/>
    </xf>
    <xf numFmtId="0" fontId="33" fillId="0" borderId="0" xfId="0" applyFont="1">
      <alignment horizontal="general" vertical="center" wrapText="1"/>
    </xf>
    <xf numFmtId="0" fontId="33" fillId="18" borderId="0" xfId="0" applyFont="1" applyFill="1">
      <alignment horizontal="center" vertical="center"/>
    </xf>
    <xf numFmtId="0" fontId="34" fillId="0" borderId="0" xfId="0" applyFont="1">
      <alignment horizontal="center" vertical="center"/>
    </xf>
    <xf numFmtId="0" fontId="34" fillId="0" borderId="0" xfId="0" applyFont="1">
      <alignment horizontal="center" vertical="center" wrapText="1"/>
    </xf>
    <xf numFmtId="0" fontId="33" fillId="0" borderId="0" xfId="0" applyFont="1">
      <alignment horizontal="center" vertical="center" wrapText="1"/>
    </xf>
    <xf numFmtId="3" fontId="33" fillId="0" borderId="0" xfId="0" applyNumberFormat="1" applyFont="1">
      <alignment horizontal="center" vertical="center"/>
    </xf>
    <xf numFmtId="1" fontId="33" fillId="0" borderId="0" xfId="0" applyNumberFormat="1" applyFont="1">
      <alignment horizontal="center" vertical="center"/>
    </xf>
    <xf numFmtId="0" fontId="5" fillId="19" borderId="9" xfId="0" applyFont="1" applyFill="1" applyBorder="1" applyProtection="1">
      <alignment horizontal="left" vertical="center" wrapText="1"/>
    </xf>
    <xf numFmtId="0" fontId="5" fillId="19" borderId="16" xfId="0" applyFont="1" applyFill="1" applyBorder="1" applyProtection="1">
      <alignment horizontal="left" vertical="center" wrapText="1"/>
    </xf>
    <xf numFmtId="0" fontId="33" fillId="0" borderId="17" xfId="0" applyFont="1" applyBorder="1" applyProtection="1">
      <alignment horizontal="general" vertical="center"/>
    </xf>
    <xf numFmtId="0" fontId="5" fillId="0" borderId="9" xfId="0" applyFont="1" applyBorder="1" applyProtection="1">
      <alignment horizontal="left" vertical="center" wrapText="1"/>
    </xf>
    <xf numFmtId="0" fontId="5" fillId="0" borderId="9" xfId="0" applyFont="1" applyBorder="1" applyProtection="1">
      <alignment horizontal="left" vertical="center"/>
    </xf>
    <xf numFmtId="0" fontId="33" fillId="18" borderId="0" xfId="0" applyFont="1" applyFill="1">
      <alignment horizontal="general" vertical="center"/>
    </xf>
    <xf numFmtId="0" fontId="5" fillId="18" borderId="9" xfId="0" applyFont="1" applyFill="1" applyBorder="1" applyProtection="1">
      <alignment horizontal="left" vertical="center" wrapText="1"/>
    </xf>
    <xf numFmtId="0" fontId="5" fillId="18" borderId="9" xfId="0" applyFont="1" applyFill="1" applyBorder="1" applyProtection="1">
      <alignment horizontal="left" vertical="center"/>
    </xf>
    <xf numFmtId="0" fontId="35" fillId="0" borderId="0" xfId="0" applyFont="1">
      <alignment horizontal="general" vertical="center"/>
    </xf>
    <xf numFmtId="0" fontId="6" fillId="0" borderId="15" xfId="0" applyFont="1" applyBorder="1" applyProtection="1">
      <alignment horizontal="general" vertical="center"/>
    </xf>
    <xf numFmtId="0" fontId="6" fillId="0" borderId="17" xfId="0" applyFont="1" applyBorder="1" applyProtection="1">
      <alignment horizontal="general" vertical="center"/>
    </xf>
    <xf numFmtId="0" fontId="14" fillId="4" borderId="7" xfId="0" applyFont="1" applyFill="1" applyBorder="1" applyProtection="1">
      <alignment horizontal="right" vertical="center"/>
    </xf>
    <xf numFmtId="3" fontId="15" fillId="5" borderId="7" xfId="0" applyNumberFormat="1" applyFont="1" applyFill="1" applyBorder="1" applyProtection="1">
      <alignment horizontal="right" vertical="center"/>
    </xf>
    <xf numFmtId="49" fontId="18" fillId="0" borderId="9" xfId="0" applyNumberFormat="1" applyFont="1" applyBorder="1" applyProtection="1">
      <alignment horizontal="center" vertical="center"/>
    </xf>
    <xf numFmtId="0" fontId="6" fillId="0" borderId="9" xfId="0" applyFont="1" applyBorder="1" applyProtection="1">
      <alignment horizontal="left" vertical="center"/>
    </xf>
    <xf numFmtId="49" fontId="18" fillId="0" borderId="9" xfId="0" applyNumberFormat="1" applyFont="1" applyBorder="1" applyProtection="1">
      <alignment horizontal="general" vertical="bottom"/>
    </xf>
    <xf numFmtId="0" fontId="36" fillId="0" borderId="9" xfId="0" applyFont="1" applyBorder="1" applyProtection="1">
      <alignment horizontal="left" vertical="center" wrapText="1"/>
    </xf>
    <xf numFmtId="0" fontId="8" fillId="2" borderId="0" xfId="0" applyFont="1" applyFill="1">
      <alignment horizontal="general" vertical="center" wrapText="1"/>
    </xf>
    <xf numFmtId="0" fontId="8" fillId="20" borderId="8" xfId="0" applyFont="1" applyFill="1" applyBorder="1" applyProtection="1">
      <alignment horizontal="center" vertical="center" wrapText="1"/>
    </xf>
    <xf numFmtId="0" fontId="8" fillId="8" borderId="13" xfId="0" applyFont="1" applyFill="1" applyBorder="1" applyProtection="1">
      <alignment horizontal="left" vertical="center" wrapText="1"/>
    </xf>
    <xf numFmtId="0" fontId="16" fillId="20" borderId="9" xfId="0" applyFont="1" applyFill="1" applyBorder="1" applyProtection="1">
      <alignment horizontal="center" vertical="center" wrapText="1"/>
    </xf>
    <xf numFmtId="0" fontId="16" fillId="8" borderId="9" xfId="0" applyFont="1" applyFill="1" applyBorder="1" applyProtection="1">
      <alignment horizontal="center" vertical="center" wrapText="1"/>
    </xf>
    <xf numFmtId="164" fontId="17" fillId="0" borderId="9" xfId="0" applyNumberFormat="1" applyFont="1" applyBorder="1" applyProtection="1">
      <alignment horizontal="center" vertical="center"/>
    </xf>
    <xf numFmtId="0" fontId="17" fillId="0" borderId="9" xfId="0" applyFont="1" applyBorder="1" applyProtection="1">
      <alignment horizontal="general" vertical="center"/>
    </xf>
    <xf numFmtId="0" fontId="17" fillId="0" borderId="9" xfId="0" applyFont="1" applyBorder="1" applyProtection="1">
      <alignment horizontal="general" vertical="bottom"/>
    </xf>
    <xf numFmtId="0" fontId="5" fillId="0" borderId="15" xfId="0" applyFont="1" applyBorder="1" applyProtection="1">
      <alignment horizontal="general" vertical="center"/>
    </xf>
    <xf numFmtId="0" fontId="22" fillId="8" borderId="9" xfId="0" applyFont="1" applyFill="1" applyBorder="1" applyProtection="1">
      <alignment horizontal="left" vertical="bottom" wrapText="1"/>
    </xf>
    <xf numFmtId="0" fontId="37" fillId="8" borderId="8" xfId="0" applyFont="1" applyFill="1" applyBorder="1" applyProtection="1">
      <alignment horizontal="right" vertical="bottom" wrapText="1"/>
    </xf>
    <xf numFmtId="0" fontId="19" fillId="0" borderId="0" xfId="0" applyFont="1">
      <alignment horizontal="general" vertical="top" wrapText="1"/>
    </xf>
    <xf numFmtId="164" fontId="14" fillId="4" borderId="7" xfId="0" applyNumberFormat="1" applyFont="1" applyFill="1" applyBorder="1" applyProtection="1">
      <alignment horizontal="center" vertical="bottom" wrapText="1"/>
    </xf>
    <xf numFmtId="0" fontId="22" fillId="8" borderId="8" xfId="0" applyFont="1" applyFill="1" applyBorder="1" applyProtection="1">
      <alignment horizontal="left" vertical="bottom" wrapText="1"/>
    </xf>
    <xf numFmtId="0" fontId="38" fillId="8" borderId="8" xfId="0" applyFont="1" applyFill="1" applyBorder="1" applyProtection="1">
      <alignment horizontal="left" vertical="bottom" wrapText="1"/>
    </xf>
    <xf numFmtId="0" fontId="37" fillId="8" borderId="9" xfId="0" applyFont="1" applyFill="1" applyBorder="1" applyProtection="1">
      <alignment horizontal="right" vertical="bottom" wrapText="1"/>
    </xf>
    <xf numFmtId="164" fontId="6" fillId="21" borderId="9" xfId="0" applyNumberFormat="1" applyFont="1" applyFill="1" applyBorder="1" applyProtection="1">
      <alignment horizontal="center" vertical="center"/>
    </xf>
    <xf numFmtId="164" fontId="6" fillId="22" borderId="9" xfId="0" applyNumberFormat="1" applyFont="1" applyFill="1" applyBorder="1" applyProtection="1">
      <alignment horizontal="center" vertical="center"/>
    </xf>
    <xf numFmtId="0" fontId="22" fillId="8" borderId="8" xfId="0" applyFont="1" applyFill="1" applyBorder="1" applyProtection="1">
      <alignment horizontal="left" vertical="bottom"/>
    </xf>
    <xf numFmtId="0" fontId="38" fillId="8" borderId="8" xfId="0" applyFont="1" applyFill="1" applyBorder="1" applyProtection="1">
      <alignment horizontal="left" vertical="bottom"/>
    </xf>
    <xf numFmtId="164" fontId="6" fillId="23" borderId="9" xfId="0" applyNumberFormat="1" applyFont="1" applyFill="1" applyBorder="1" applyProtection="1">
      <alignment horizontal="center" vertical="center"/>
    </xf>
    <xf numFmtId="0" fontId="5" fillId="0" borderId="13" xfId="0" applyFont="1" applyBorder="1" applyProtection="1">
      <alignment horizontal="general" vertical="center"/>
    </xf>
    <xf numFmtId="0" fontId="5" fillId="0" borderId="16" xfId="0" applyFont="1" applyBorder="1" applyProtection="1">
      <alignment horizontal="general" vertical="center"/>
    </xf>
    <xf numFmtId="0" fontId="37" fillId="8" borderId="16" xfId="0" applyFont="1" applyFill="1" applyBorder="1" applyProtection="1">
      <alignment horizontal="right" vertical="bottom" wrapText="1"/>
    </xf>
    <xf numFmtId="0" fontId="37" fillId="8" borderId="13" xfId="0" applyFont="1" applyFill="1" applyBorder="1" applyProtection="1">
      <alignment horizontal="right" vertical="bottom" wrapText="1"/>
    </xf>
    <xf numFmtId="0" fontId="8" fillId="8" borderId="9" xfId="0" applyFont="1" applyFill="1" applyBorder="1" applyProtection="1">
      <alignment horizontal="left" vertical="center"/>
    </xf>
    <xf numFmtId="0" fontId="37" fillId="8" borderId="18" xfId="0" applyFont="1" applyFill="1" applyBorder="1" applyProtection="1">
      <alignment horizontal="right" vertical="bottom" wrapText="1"/>
    </xf>
    <xf numFmtId="0" fontId="37" fillId="8" borderId="19" xfId="0" applyFont="1" applyFill="1" applyBorder="1" applyProtection="1">
      <alignment horizontal="right" vertical="bottom" wrapText="1"/>
    </xf>
    <xf numFmtId="164" fontId="6" fillId="13" borderId="8" xfId="0" applyNumberFormat="1" applyFont="1" applyFill="1" applyBorder="1" applyProtection="1">
      <alignment horizontal="center" vertical="center"/>
    </xf>
    <xf numFmtId="165" fontId="14" fillId="4" borderId="12" xfId="0" applyNumberFormat="1" applyFont="1" applyFill="1" applyBorder="1" applyProtection="1">
      <alignment horizontal="center" vertical="center" wrapText="1"/>
    </xf>
    <xf numFmtId="0" fontId="39" fillId="8" borderId="9" xfId="0" applyFont="1" applyFill="1" applyBorder="1" applyProtection="1">
      <alignment horizontal="center" vertical="center" wrapText="1"/>
    </xf>
    <xf numFmtId="0" fontId="37" fillId="7" borderId="9" xfId="0" applyFont="1" applyFill="1" applyBorder="1" applyProtection="1">
      <alignment horizontal="right" vertical="bottom" wrapText="1"/>
    </xf>
    <xf numFmtId="0" fontId="6" fillId="0" borderId="8" xfId="0" applyFont="1" applyBorder="1" applyProtection="1">
      <alignment horizontal="center" vertical="center"/>
    </xf>
    <xf numFmtId="0" fontId="8" fillId="6" borderId="9" xfId="0" applyFont="1" applyFill="1" applyBorder="1" applyProtection="1">
      <alignment horizontal="center" vertical="center" wrapText="1"/>
    </xf>
    <xf numFmtId="0" fontId="35" fillId="7" borderId="8" xfId="0" applyFont="1" applyFill="1" applyBorder="1" applyProtection="1">
      <alignment horizontal="center" vertical="center" wrapText="1"/>
    </xf>
    <xf numFmtId="0" fontId="16" fillId="6" borderId="8" xfId="0" applyFont="1" applyFill="1" applyBorder="1" applyProtection="1">
      <alignment horizontal="center" vertical="center" wrapText="1"/>
    </xf>
    <xf numFmtId="0" fontId="6" fillId="12" borderId="9" xfId="0" applyFont="1" applyFill="1" applyBorder="1" applyProtection="1">
      <alignment horizontal="left" vertical="top"/>
    </xf>
    <xf numFmtId="164" fontId="17" fillId="0" borderId="9" xfId="0" applyNumberFormat="1" applyFont="1" applyBorder="1" applyProtection="1">
      <alignment horizontal="left" vertical="center"/>
    </xf>
    <xf numFmtId="0" fontId="14" fillId="4" borderId="12" xfId="0" applyFont="1" applyFill="1" applyBorder="1" applyProtection="1">
      <alignment horizontal="center" vertical="center" wrapText="1"/>
    </xf>
    <xf numFmtId="0" fontId="16" fillId="6" borderId="8" xfId="0" applyFont="1" applyFill="1" applyBorder="1" applyProtection="1">
      <alignment horizontal="center" vertical="center"/>
    </xf>
    <xf numFmtId="0" fontId="6" fillId="0" borderId="9" xfId="0" applyFont="1" applyBorder="1" applyProtection="1">
      <alignment horizontal="left" vertical="top"/>
    </xf>
    <xf numFmtId="167" fontId="12" fillId="0" borderId="0" xfId="0" applyNumberFormat="1" applyFont="1">
      <alignment horizontal="center" vertical="bottom"/>
    </xf>
    <xf numFmtId="0" fontId="12" fillId="0" borderId="0" xfId="0" applyFont="1">
      <alignment horizontal="general" vertical="bottom" wrapText="1"/>
    </xf>
    <xf numFmtId="0" fontId="40" fillId="0" borderId="0" xfId="0" applyFont="1">
      <alignment horizontal="center" vertical="bottom" wrapText="1"/>
    </xf>
    <xf numFmtId="0" fontId="40" fillId="0" borderId="0" xfId="0" applyFont="1">
      <alignment horizontal="center" vertical="bottom"/>
    </xf>
    <xf numFmtId="0" fontId="10" fillId="3" borderId="20" xfId="0" applyFont="1" applyFill="1" applyBorder="1" applyProtection="1">
      <alignment horizontal="center" vertical="center" wrapText="1"/>
    </xf>
    <xf numFmtId="0" fontId="5" fillId="0" borderId="21" xfId="0" applyFont="1" applyBorder="1" applyProtection="1">
      <alignment horizontal="general" vertical="center"/>
    </xf>
    <xf numFmtId="0" fontId="9" fillId="3" borderId="22" xfId="0" applyFont="1" applyFill="1" applyBorder="1" applyProtection="1">
      <alignment horizontal="center" vertical="center" wrapText="1"/>
    </xf>
    <xf numFmtId="0" fontId="41" fillId="14" borderId="23" xfId="0" applyFont="1" applyFill="1" applyBorder="1" applyProtection="1">
      <alignment horizontal="center" vertical="center" wrapText="1"/>
    </xf>
    <xf numFmtId="0" fontId="9" fillId="3" borderId="23" xfId="0" applyFont="1" applyFill="1" applyBorder="1" applyProtection="1">
      <alignment horizontal="center" vertical="center" wrapText="1"/>
    </xf>
    <xf numFmtId="0" fontId="13" fillId="14" borderId="23" xfId="0" applyFont="1" applyFill="1" applyBorder="1" applyProtection="1">
      <alignment horizontal="center" vertical="center"/>
    </xf>
    <xf numFmtId="168" fontId="41" fillId="14" borderId="23" xfId="0" applyNumberFormat="1" applyFont="1" applyFill="1" applyBorder="1" applyProtection="1">
      <alignment horizontal="center" vertical="center" wrapText="1"/>
    </xf>
    <xf numFmtId="168" fontId="13" fillId="14" borderId="23" xfId="0" applyNumberFormat="1" applyFont="1" applyFill="1" applyBorder="1" applyProtection="1">
      <alignment horizontal="center" vertical="center"/>
    </xf>
    <xf numFmtId="0" fontId="9" fillId="3" borderId="23" xfId="0" applyFont="1" applyFill="1" applyBorder="1" applyProtection="1">
      <alignment horizontal="center" vertical="center"/>
    </xf>
    <xf numFmtId="0" fontId="5" fillId="0" borderId="23" xfId="0" applyFont="1" applyBorder="1" applyProtection="1">
      <alignment horizontal="general" vertical="center"/>
    </xf>
    <xf numFmtId="0" fontId="5" fillId="0" borderId="22" xfId="0" applyFont="1" applyBorder="1" applyProtection="1">
      <alignment horizontal="general" vertical="center"/>
    </xf>
    <xf numFmtId="167" fontId="11" fillId="0" borderId="23" xfId="0" applyNumberFormat="1" applyFont="1" applyBorder="1" applyProtection="1">
      <alignment horizontal="center" vertical="center" wrapText="1"/>
    </xf>
    <xf numFmtId="0" fontId="9" fillId="3" borderId="24" xfId="0" applyFont="1" applyFill="1" applyBorder="1" applyProtection="1">
      <alignment horizontal="center" vertical="center" wrapText="1"/>
    </xf>
    <xf numFmtId="10" fontId="11" fillId="0" borderId="23" xfId="0" applyNumberFormat="1" applyFont="1" applyBorder="1" applyProtection="1">
      <alignment horizontal="center" vertical="center" wrapText="1"/>
    </xf>
    <xf numFmtId="167" fontId="11" fillId="0" borderId="24" xfId="0" applyNumberFormat="1" applyFont="1" applyBorder="1" applyProtection="1">
      <alignment horizontal="center" vertical="center" wrapText="1"/>
    </xf>
    <xf numFmtId="10" fontId="42" fillId="0" borderId="24" xfId="0" applyNumberFormat="1" applyFont="1" applyBorder="1" applyProtection="1">
      <alignment horizontal="center" vertical="center" wrapText="1"/>
    </xf>
    <xf numFmtId="0" fontId="11" fillId="11" borderId="22" xfId="0" applyFont="1" applyFill="1" applyBorder="1" applyProtection="1">
      <alignment horizontal="center" vertical="center" wrapText="1"/>
    </xf>
    <xf numFmtId="0" fontId="11" fillId="11" borderId="23" xfId="0" applyFont="1" applyFill="1" applyBorder="1" applyProtection="1">
      <alignment horizontal="center" vertical="center" wrapText="1"/>
    </xf>
    <xf numFmtId="0" fontId="11" fillId="23" borderId="23" xfId="0" applyFont="1" applyFill="1" applyBorder="1" applyProtection="1">
      <alignment horizontal="center" vertical="center" wrapText="1"/>
    </xf>
    <xf numFmtId="0" fontId="11" fillId="11" borderId="23" xfId="0" applyFont="1" applyFill="1" applyBorder="1" applyProtection="1">
      <alignment horizontal="center" vertical="center"/>
    </xf>
    <xf numFmtId="0" fontId="11" fillId="0" borderId="25" xfId="0" applyFont="1" applyBorder="1" applyProtection="1">
      <alignment horizontal="center" vertical="center" wrapText="1"/>
    </xf>
    <xf numFmtId="0" fontId="11" fillId="0" borderId="23" xfId="0" applyFont="1" applyBorder="1" applyProtection="1">
      <alignment horizontal="center" vertical="center" wrapText="1"/>
    </xf>
    <xf numFmtId="0" fontId="13" fillId="0" borderId="23" xfId="0" applyFont="1" applyBorder="1" applyProtection="1">
      <alignment horizontal="left" vertical="center"/>
    </xf>
    <xf numFmtId="0" fontId="43" fillId="0" borderId="23" xfId="0" applyFont="1" applyBorder="1" applyProtection="1">
      <alignment horizontal="left" vertical="center" wrapText="1"/>
    </xf>
    <xf numFmtId="166" fontId="44" fillId="0" borderId="23" xfId="0" applyNumberFormat="1" applyFont="1" applyBorder="1" applyProtection="1">
      <alignment horizontal="right" vertical="center" wrapText="1"/>
    </xf>
    <xf numFmtId="9" fontId="45" fillId="0" borderId="23" xfId="0" applyNumberFormat="1" applyFont="1" applyBorder="1" applyProtection="1">
      <alignment horizontal="center" vertical="center" wrapText="1"/>
    </xf>
    <xf numFmtId="0" fontId="11" fillId="0" borderId="26" xfId="0" applyFont="1" applyBorder="1" applyProtection="1">
      <alignment horizontal="center" vertical="center" wrapText="1"/>
    </xf>
    <xf numFmtId="0" fontId="11" fillId="24" borderId="23" xfId="0" applyFont="1" applyFill="1" applyBorder="1" applyProtection="1">
      <alignment horizontal="center" vertical="center" wrapText="1"/>
    </xf>
    <xf numFmtId="0" fontId="5" fillId="24" borderId="23" xfId="0" applyFont="1" applyFill="1" applyBorder="1" applyProtection="1">
      <alignment horizontal="general" vertical="center"/>
    </xf>
    <xf numFmtId="0" fontId="13" fillId="24" borderId="23" xfId="0" applyFont="1" applyFill="1" applyBorder="1" applyProtection="1">
      <alignment horizontal="left" vertical="center"/>
    </xf>
    <xf numFmtId="0" fontId="43" fillId="24" borderId="23" xfId="0" applyFont="1" applyFill="1" applyBorder="1" applyProtection="1">
      <alignment horizontal="left" vertical="center" wrapText="1"/>
    </xf>
    <xf numFmtId="166" fontId="44" fillId="24" borderId="23" xfId="0" applyNumberFormat="1" applyFont="1" applyFill="1" applyBorder="1" applyProtection="1">
      <alignment horizontal="right" vertical="center" wrapText="1"/>
    </xf>
    <xf numFmtId="9" fontId="45" fillId="24" borderId="23" xfId="0" applyNumberFormat="1" applyFont="1" applyFill="1" applyBorder="1" applyProtection="1">
      <alignment horizontal="center" vertical="center" wrapText="1"/>
    </xf>
    <xf numFmtId="0" fontId="11" fillId="0" borderId="27" xfId="0" applyFont="1" applyBorder="1" applyProtection="1">
      <alignment horizontal="center" vertical="center" wrapText="1"/>
    </xf>
    <xf numFmtId="0" fontId="11" fillId="0" borderId="22" xfId="0" applyFont="1" applyBorder="1" applyProtection="1">
      <alignment horizontal="center" vertical="center" wrapText="1"/>
    </xf>
    <xf numFmtId="0" fontId="43" fillId="0" borderId="23" xfId="0" applyFont="1" applyBorder="1" applyProtection="1">
      <alignment horizontal="general" vertical="center" wrapText="1"/>
    </xf>
    <xf numFmtId="0" fontId="13" fillId="21" borderId="23" xfId="0" applyFont="1" applyFill="1" applyBorder="1" applyProtection="1">
      <alignment horizontal="left" vertical="center"/>
    </xf>
    <xf numFmtId="0" fontId="43" fillId="21" borderId="23" xfId="0" applyFont="1" applyFill="1" applyBorder="1" applyProtection="1">
      <alignment horizontal="left" vertical="center" wrapText="1"/>
    </xf>
    <xf numFmtId="166" fontId="44" fillId="21" borderId="23" xfId="0" applyNumberFormat="1" applyFont="1" applyFill="1" applyBorder="1" applyProtection="1">
      <alignment horizontal="right" vertical="center" wrapText="1"/>
    </xf>
    <xf numFmtId="9" fontId="45" fillId="21" borderId="23" xfId="0" applyNumberFormat="1" applyFont="1" applyFill="1" applyBorder="1" applyProtection="1">
      <alignment horizontal="center" vertical="center" wrapText="1"/>
    </xf>
    <xf numFmtId="0" fontId="11" fillId="25" borderId="23" xfId="0" applyFont="1" applyFill="1" applyBorder="1" applyProtection="1">
      <alignment horizontal="center" vertical="center" wrapText="1"/>
    </xf>
    <xf numFmtId="0" fontId="11" fillId="0" borderId="28" xfId="0" applyFont="1" applyBorder="1" applyProtection="1">
      <alignment horizontal="center" vertical="center" wrapText="1"/>
    </xf>
    <xf numFmtId="0" fontId="11" fillId="0" borderId="29" xfId="0" applyFont="1" applyBorder="1" applyProtection="1">
      <alignment horizontal="center" vertical="center" wrapText="1"/>
    </xf>
    <xf numFmtId="0" fontId="5" fillId="0" borderId="30" xfId="0" applyFont="1" applyBorder="1" applyProtection="1">
      <alignment horizontal="general" vertical="center"/>
    </xf>
    <xf numFmtId="0" fontId="5" fillId="0" borderId="31" xfId="0" applyFont="1" applyBorder="1" applyProtection="1">
      <alignment horizontal="general" vertical="center"/>
    </xf>
    <xf numFmtId="0" fontId="46" fillId="0" borderId="29" xfId="0" applyFont="1" applyBorder="1" applyProtection="1">
      <alignment horizontal="center" vertical="center" wrapText="1"/>
    </xf>
    <xf numFmtId="0" fontId="46" fillId="0" borderId="30" xfId="0" applyFont="1" applyBorder="1" applyProtection="1">
      <alignment horizontal="general" vertical="center"/>
    </xf>
    <xf numFmtId="0" fontId="12" fillId="0" borderId="32" xfId="0" applyFont="1" applyBorder="1" applyProtection="1">
      <alignment horizontal="left" vertical="center" wrapText="1"/>
    </xf>
    <xf numFmtId="0" fontId="5" fillId="0" borderId="33" xfId="0" applyFont="1" applyBorder="1" applyProtection="1">
      <alignment horizontal="general" vertical="center"/>
    </xf>
    <xf numFmtId="0" fontId="41" fillId="14" borderId="34" xfId="0" applyFont="1" applyFill="1" applyBorder="1" applyProtection="1">
      <alignment horizontal="center" vertical="center" wrapText="1"/>
    </xf>
    <xf numFmtId="0" fontId="41" fillId="14" borderId="34" xfId="0" applyFont="1" applyFill="1" applyBorder="1" applyProtection="1">
      <alignment horizontal="center" vertical="center"/>
    </xf>
    <xf numFmtId="0" fontId="9" fillId="3" borderId="34" xfId="0" applyFont="1" applyFill="1" applyBorder="1" applyProtection="1">
      <alignment horizontal="center" vertical="center" wrapText="1"/>
    </xf>
    <xf numFmtId="3" fontId="11" fillId="0" borderId="34" xfId="0" applyNumberFormat="1" applyFont="1" applyBorder="1" applyProtection="1">
      <alignment horizontal="center" vertical="center" wrapText="1"/>
    </xf>
    <xf numFmtId="10" fontId="11" fillId="0" borderId="24" xfId="0" applyNumberFormat="1" applyFont="1" applyBorder="1" applyProtection="1">
      <alignment horizontal="center" vertical="center" wrapText="1"/>
    </xf>
    <xf numFmtId="10" fontId="11" fillId="0" borderId="34" xfId="0" applyNumberFormat="1" applyFont="1" applyBorder="1" applyProtection="1">
      <alignment horizontal="center" vertical="center" wrapText="1"/>
    </xf>
    <xf numFmtId="0" fontId="11" fillId="11" borderId="24" xfId="0" applyFont="1" applyFill="1" applyBorder="1" applyProtection="1">
      <alignment horizontal="center" vertical="center"/>
    </xf>
    <xf numFmtId="0" fontId="5" fillId="0" borderId="35" xfId="0" applyFont="1" applyBorder="1" applyProtection="1">
      <alignment horizontal="general" vertical="center"/>
    </xf>
    <xf numFmtId="0" fontId="13" fillId="0" borderId="24" xfId="0" applyFont="1" applyBorder="1" applyProtection="1">
      <alignment horizontal="left" vertical="center" wrapText="1"/>
    </xf>
    <xf numFmtId="0" fontId="45" fillId="24" borderId="24" xfId="0" applyFont="1" applyFill="1" applyBorder="1" applyProtection="1">
      <alignment horizontal="left" vertical="center" wrapText="1"/>
    </xf>
    <xf numFmtId="0" fontId="5" fillId="24" borderId="35" xfId="0" applyFont="1" applyFill="1" applyBorder="1" applyProtection="1">
      <alignment horizontal="general" vertical="center"/>
    </xf>
    <xf numFmtId="0" fontId="13" fillId="24" borderId="24" xfId="0" applyFont="1" applyFill="1" applyBorder="1" applyProtection="1">
      <alignment horizontal="left" vertical="center" wrapText="1"/>
    </xf>
    <xf numFmtId="0" fontId="13" fillId="0" borderId="23" xfId="0" applyFont="1" applyBorder="1" applyProtection="1">
      <alignment horizontal="left" vertical="center" wrapText="1"/>
    </xf>
    <xf numFmtId="0" fontId="13" fillId="0" borderId="35" xfId="0" applyFont="1" applyBorder="1" applyProtection="1">
      <alignment horizontal="general" vertical="center" wrapText="1"/>
    </xf>
    <xf numFmtId="0" fontId="13" fillId="0" borderId="24" xfId="0" applyFont="1" applyBorder="1" applyProtection="1">
      <alignment horizontal="general" vertical="center"/>
    </xf>
    <xf numFmtId="0" fontId="13" fillId="21" borderId="24" xfId="0" applyFont="1" applyFill="1" applyBorder="1" applyProtection="1">
      <alignment horizontal="general" vertical="center" wrapText="1"/>
    </xf>
    <xf numFmtId="0" fontId="13" fillId="0" borderId="24" xfId="0" applyFont="1" applyBorder="1" applyProtection="1">
      <alignment horizontal="general" vertical="center" wrapText="1"/>
    </xf>
    <xf numFmtId="0" fontId="5" fillId="0" borderId="35" xfId="0" applyFont="1" applyBorder="1" applyProtection="1">
      <alignment horizontal="general" vertical="center" wrapText="1"/>
    </xf>
    <xf numFmtId="0" fontId="46" fillId="0" borderId="36" xfId="0" applyFont="1" applyBorder="1" applyProtection="1">
      <alignment horizontal="general" vertical="center"/>
    </xf>
    <xf numFmtId="0" fontId="5" fillId="0" borderId="36" xfId="0" applyFont="1" applyBorder="1" applyProtection="1">
      <alignment horizontal="general" vertical="center"/>
    </xf>
    <xf numFmtId="0" fontId="5" fillId="0" borderId="0" xfId="0" applyFont="1">
      <alignment horizontal="general" vertical="bottom"/>
    </xf>
    <xf numFmtId="0" fontId="47" fillId="26" borderId="37" xfId="0" applyFont="1" applyFill="1" applyBorder="1" applyProtection="1">
      <alignment horizontal="center" vertical="center"/>
    </xf>
    <xf numFmtId="0" fontId="47" fillId="26" borderId="38" xfId="0" applyFont="1" applyFill="1" applyBorder="1" applyProtection="1">
      <alignment horizontal="center" vertical="center"/>
    </xf>
    <xf numFmtId="0" fontId="5" fillId="0" borderId="19" xfId="0" applyFont="1" applyBorder="1" applyProtection="1">
      <alignment horizontal="general" vertical="bottom"/>
    </xf>
    <xf numFmtId="0" fontId="10" fillId="27" borderId="39" xfId="0" applyFont="1" applyFill="1" applyBorder="1" applyProtection="1">
      <alignment horizontal="left" vertical="center" indent="1"/>
    </xf>
    <xf numFmtId="0" fontId="10" fillId="27" borderId="40" xfId="0" applyFont="1" applyFill="1" applyBorder="1" applyProtection="1">
      <alignment horizontal="left" vertical="center" indent="1"/>
    </xf>
    <xf numFmtId="0" fontId="48" fillId="28" borderId="39" xfId="0" applyFont="1" applyFill="1" applyBorder="1" applyProtection="1">
      <alignment horizontal="right" vertical="center" indent="1"/>
    </xf>
    <xf numFmtId="0" fontId="48" fillId="28" borderId="40" xfId="0" applyFont="1" applyFill="1" applyBorder="1" applyProtection="1">
      <alignment horizontal="right" vertical="center" indent="1"/>
    </xf>
    <xf numFmtId="0" fontId="13" fillId="2" borderId="40" xfId="0" applyFont="1" applyFill="1" applyBorder="1" applyProtection="1">
      <alignment horizontal="left" vertical="center" indent="1"/>
    </xf>
    <xf numFmtId="0" fontId="13" fillId="2" borderId="41" xfId="0" applyFont="1" applyFill="1" applyBorder="1" applyProtection="1">
      <alignment horizontal="general" vertical="center"/>
    </xf>
    <xf numFmtId="0" fontId="13" fillId="2" borderId="42" xfId="0" applyFont="1" applyFill="1" applyBorder="1" applyProtection="1">
      <alignment horizontal="general" vertical="center"/>
    </xf>
    <xf numFmtId="0" fontId="48" fillId="28" borderId="43" xfId="0" applyFont="1" applyFill="1" applyBorder="1" applyProtection="1">
      <alignment horizontal="right" vertical="center" indent="1"/>
    </xf>
    <xf numFmtId="0" fontId="48" fillId="28" borderId="44" xfId="0" applyFont="1" applyFill="1" applyBorder="1" applyProtection="1">
      <alignment horizontal="right" vertical="center" indent="1"/>
    </xf>
    <xf numFmtId="0" fontId="13" fillId="2" borderId="45" xfId="0" applyFont="1" applyFill="1" applyBorder="1" applyProtection="1">
      <alignment horizontal="center" vertical="center"/>
    </xf>
    <xf numFmtId="0" fontId="13" fillId="2" borderId="46" xfId="0" applyFont="1" applyFill="1" applyBorder="1" applyProtection="1">
      <alignment horizontal="center" vertical="center"/>
    </xf>
    <xf numFmtId="0" fontId="46" fillId="29" borderId="47" xfId="0" applyFont="1" applyFill="1" applyBorder="1" applyProtection="1">
      <alignment horizontal="center" vertical="center"/>
    </xf>
    <xf numFmtId="0" fontId="46" fillId="29" borderId="48" xfId="0" applyFont="1" applyFill="1" applyBorder="1" applyProtection="1">
      <alignment horizontal="center" vertical="center"/>
    </xf>
    <xf numFmtId="0" fontId="48" fillId="29" borderId="49" xfId="0" applyFont="1" applyFill="1" applyBorder="1" applyProtection="1">
      <alignment horizontal="right" vertical="center" indent="1"/>
    </xf>
    <xf numFmtId="0" fontId="48" fillId="29" borderId="40" xfId="0" applyFont="1" applyFill="1" applyBorder="1" applyProtection="1">
      <alignment horizontal="right" vertical="center" indent="1"/>
    </xf>
    <xf numFmtId="0" fontId="13" fillId="2" borderId="41" xfId="0" applyFont="1" applyFill="1" applyBorder="1" applyProtection="1">
      <alignment horizontal="center" vertical="center"/>
    </xf>
    <xf numFmtId="0" fontId="13" fillId="2" borderId="42" xfId="0" applyFont="1" applyFill="1" applyBorder="1" applyProtection="1">
      <alignment horizontal="center" vertical="center"/>
    </xf>
    <xf numFmtId="0" fontId="13" fillId="2" borderId="50" xfId="0" applyFont="1" applyFill="1" applyBorder="1" applyProtection="1">
      <alignment horizontal="center" vertical="center"/>
    </xf>
    <xf numFmtId="0" fontId="48" fillId="29" borderId="41" xfId="0" applyFont="1" applyFill="1" applyBorder="1" applyProtection="1">
      <alignment horizontal="center" vertical="center"/>
    </xf>
    <xf numFmtId="0" fontId="48" fillId="29" borderId="50" xfId="0" applyFont="1" applyFill="1" applyBorder="1" applyProtection="1">
      <alignment horizontal="center" vertical="center"/>
    </xf>
    <xf numFmtId="0" fontId="13" fillId="2" borderId="41" xfId="0" applyFont="1" applyFill="1" applyBorder="1" applyProtection="1">
      <alignment horizontal="left" vertical="center"/>
    </xf>
    <xf numFmtId="0" fontId="13" fillId="2" borderId="42" xfId="0" applyFont="1" applyFill="1" applyBorder="1" applyProtection="1">
      <alignment horizontal="left" vertical="center"/>
    </xf>
    <xf numFmtId="0" fontId="48" fillId="29" borderId="51" xfId="0" applyFont="1" applyFill="1" applyBorder="1" applyProtection="1">
      <alignment horizontal="right" vertical="center" indent="1"/>
    </xf>
    <xf numFmtId="0" fontId="48" fillId="29" borderId="52" xfId="0" applyFont="1" applyFill="1" applyBorder="1" applyProtection="1">
      <alignment horizontal="right" vertical="center" indent="1"/>
    </xf>
    <xf numFmtId="0" fontId="13" fillId="2" borderId="53" xfId="0" applyFont="1" applyFill="1" applyBorder="1" applyProtection="1">
      <alignment horizontal="left" vertical="center"/>
    </xf>
    <xf numFmtId="0" fontId="13" fillId="2" borderId="54" xfId="0" applyFont="1" applyFill="1" applyBorder="1" applyProtection="1">
      <alignment horizontal="left" vertical="center"/>
    </xf>
    <xf numFmtId="0" fontId="49" fillId="27" borderId="39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50" fillId="28" borderId="39" xfId="0" applyFont="1" applyFill="1" applyBorder="1" applyProtection="1">
      <alignment horizontal="center" vertical="center" wrapText="1"/>
    </xf>
    <xf numFmtId="0" fontId="50" fillId="28" borderId="40" xfId="0" applyFont="1" applyFill="1" applyBorder="1" applyProtection="1">
      <alignment horizontal="center" vertical="center" wrapText="1"/>
    </xf>
    <xf numFmtId="0" fontId="51" fillId="2" borderId="39" xfId="0" applyFont="1" applyFill="1" applyBorder="1" applyProtection="1">
      <alignment horizontal="center" vertical="center"/>
    </xf>
    <xf numFmtId="0" fontId="52" fillId="2" borderId="40" xfId="0" applyFont="1" applyFill="1" applyBorder="1" applyProtection="1">
      <alignment horizontal="center" vertical="center" wrapText="1"/>
    </xf>
    <xf numFmtId="0" fontId="52" fillId="2" borderId="40" xfId="0" applyFont="1" applyFill="1" applyBorder="1" applyProtection="1">
      <alignment horizontal="left" vertical="center" wrapText="1" indent="1"/>
    </xf>
    <xf numFmtId="0" fontId="53" fillId="2" borderId="40" xfId="0" applyFont="1" applyFill="1" applyBorder="1" applyProtection="1">
      <alignment horizontal="left" vertical="center" wrapText="1"/>
    </xf>
    <xf numFmtId="0" fontId="54" fillId="30" borderId="40" xfId="0" applyFont="1" applyFill="1" applyBorder="1" applyProtection="1">
      <alignment horizontal="left" vertical="center" wrapText="1"/>
    </xf>
    <xf numFmtId="0" fontId="55" fillId="31" borderId="40" xfId="0" applyFont="1" applyFill="1" applyBorder="1" applyProtection="1">
      <alignment horizontal="left" vertical="center" wrapText="1"/>
    </xf>
    <xf numFmtId="0" fontId="56" fillId="32" borderId="40" xfId="0" applyFont="1" applyFill="1" applyBorder="1" applyProtection="1">
      <alignment horizontal="left" vertical="center" wrapText="1"/>
    </xf>
    <xf numFmtId="0" fontId="47" fillId="26" borderId="55" xfId="0" applyFont="1" applyFill="1" applyBorder="1" applyProtection="1">
      <alignment horizontal="center" vertical="center"/>
    </xf>
    <xf numFmtId="0" fontId="5" fillId="0" borderId="56" xfId="0" applyFont="1" applyBorder="1" applyProtection="1">
      <alignment horizontal="general" vertical="bottom"/>
    </xf>
    <xf numFmtId="0" fontId="10" fillId="27" borderId="57" xfId="0" applyFont="1" applyFill="1" applyBorder="1" applyProtection="1">
      <alignment horizontal="left" vertical="center" indent="1"/>
    </xf>
    <xf numFmtId="0" fontId="13" fillId="2" borderId="57" xfId="0" applyFont="1" applyFill="1" applyBorder="1" applyProtection="1">
      <alignment horizontal="left" vertical="center" indent="1"/>
    </xf>
    <xf numFmtId="0" fontId="13" fillId="2" borderId="58" xfId="0" applyFont="1" applyFill="1" applyBorder="1" applyProtection="1">
      <alignment horizontal="general" vertical="center"/>
    </xf>
    <xf numFmtId="0" fontId="13" fillId="2" borderId="59" xfId="0" applyFont="1" applyFill="1" applyBorder="1" applyProtection="1">
      <alignment horizontal="center" vertical="center"/>
    </xf>
    <xf numFmtId="0" fontId="46" fillId="29" borderId="60" xfId="0" applyFont="1" applyFill="1" applyBorder="1" applyProtection="1">
      <alignment horizontal="center" vertical="center"/>
    </xf>
    <xf numFmtId="0" fontId="13" fillId="2" borderId="61" xfId="0" applyFont="1" applyFill="1" applyBorder="1" applyProtection="1">
      <alignment horizontal="center" vertical="center"/>
    </xf>
    <xf numFmtId="0" fontId="13" fillId="2" borderId="61" xfId="0" applyFont="1" applyFill="1" applyBorder="1" applyProtection="1">
      <alignment horizontal="left" vertical="center"/>
    </xf>
    <xf numFmtId="0" fontId="13" fillId="2" borderId="62" xfId="0" applyFont="1" applyFill="1" applyBorder="1" applyProtection="1">
      <alignment horizontal="left" vertical="center"/>
    </xf>
    <xf numFmtId="0" fontId="50" fillId="28" borderId="57" xfId="0" applyFont="1" applyFill="1" applyBorder="1" applyProtection="1">
      <alignment horizontal="center" vertical="center" wrapText="1"/>
    </xf>
    <xf numFmtId="0" fontId="5" fillId="28" borderId="40" xfId="0" applyFont="1" applyFill="1" applyBorder="1" applyProtection="1">
      <alignment horizontal="center" vertical="center"/>
    </xf>
    <xf numFmtId="0" fontId="5" fillId="28" borderId="40" xfId="0" applyFont="1" applyFill="1" applyBorder="1" applyProtection="1">
      <alignment horizontal="left" vertical="center" wrapText="1"/>
    </xf>
    <xf numFmtId="0" fontId="57" fillId="28" borderId="57" xfId="0" applyFont="1" applyFill="1" applyBorder="1" applyProtection="1">
      <alignment horizontal="center" vertical="center" wrapText="1"/>
    </xf>
    <xf numFmtId="0" fontId="57" fillId="28" borderId="40" xfId="0" applyFont="1" applyFill="1" applyBorder="1" applyProtection="1">
      <alignment horizontal="center" vertical="center" wrapText="1"/>
    </xf>
    <xf numFmtId="169" fontId="13" fillId="2" borderId="40" xfId="0" applyNumberFormat="1" applyFont="1" applyFill="1" applyBorder="1" applyProtection="1">
      <alignment horizontal="left" vertical="center" indent="1"/>
    </xf>
    <xf numFmtId="0" fontId="13" fillId="2" borderId="41" xfId="0" applyFont="1" applyFill="1" applyBorder="1" applyProtection="1">
      <alignment horizontal="left" vertical="center" wrapText="1"/>
    </xf>
    <xf numFmtId="0" fontId="13" fillId="2" borderId="42" xfId="0" applyFont="1" applyFill="1" applyBorder="1" applyProtection="1">
      <alignment horizontal="left" vertical="center"/>
    </xf>
    <xf numFmtId="0" fontId="53" fillId="2" borderId="41" xfId="0" applyFont="1" applyFill="1" applyBorder="1" applyProtection="1">
      <alignment horizontal="left" vertical="center"/>
    </xf>
    <xf numFmtId="0" fontId="53" fillId="2" borderId="42" xfId="0" applyFont="1" applyFill="1" applyBorder="1" applyProtection="1">
      <alignment horizontal="left" vertical="center"/>
    </xf>
    <xf numFmtId="0" fontId="13" fillId="2" borderId="40" xfId="0" applyFont="1" applyFill="1" applyBorder="1" applyProtection="1">
      <alignment horizontal="left" vertical="center" indent="1"/>
    </xf>
    <xf numFmtId="0" fontId="11" fillId="28" borderId="40" xfId="0" applyFont="1" applyFill="1" applyBorder="1" applyProtection="1">
      <alignment horizontal="right" vertical="center" indent="1"/>
    </xf>
    <xf numFmtId="0" fontId="13" fillId="2" borderId="41" xfId="0" applyFont="1" applyFill="1" applyBorder="1" applyProtection="1">
      <alignment horizontal="left" vertical="center"/>
    </xf>
    <xf numFmtId="168" fontId="13" fillId="2" borderId="40" xfId="0" applyNumberFormat="1" applyFont="1" applyFill="1" applyBorder="1" applyProtection="1">
      <alignment horizontal="left" vertical="center" indent="1"/>
    </xf>
    <xf numFmtId="0" fontId="51" fillId="2" borderId="63" xfId="0" applyFont="1" applyFill="1" applyBorder="1" applyProtection="1">
      <alignment horizontal="center" vertical="center"/>
    </xf>
    <xf numFmtId="0" fontId="52" fillId="2" borderId="64" xfId="0" applyFont="1" applyFill="1" applyBorder="1" applyProtection="1">
      <alignment horizontal="center" vertical="center" wrapText="1"/>
    </xf>
    <xf numFmtId="0" fontId="52" fillId="2" borderId="64" xfId="0" applyFont="1" applyFill="1" applyBorder="1" applyProtection="1">
      <alignment horizontal="left" vertical="center" wrapText="1" indent="1"/>
    </xf>
    <xf numFmtId="0" fontId="53" fillId="2" borderId="64" xfId="0" applyFont="1" applyFill="1" applyBorder="1" applyProtection="1">
      <alignment horizontal="left" vertical="center" wrapText="1"/>
    </xf>
    <xf numFmtId="0" fontId="54" fillId="30" borderId="64" xfId="0" applyFont="1" applyFill="1" applyBorder="1" applyProtection="1">
      <alignment horizontal="left" vertical="center" wrapText="1"/>
    </xf>
    <xf numFmtId="0" fontId="55" fillId="31" borderId="64" xfId="0" applyFont="1" applyFill="1" applyBorder="1" applyProtection="1">
      <alignment horizontal="left" vertical="center" wrapText="1"/>
    </xf>
    <xf numFmtId="0" fontId="13" fillId="2" borderId="58" xfId="0" applyFont="1" applyFill="1" applyBorder="1" applyProtection="1">
      <alignment horizontal="center" vertical="center"/>
    </xf>
    <xf numFmtId="0" fontId="5" fillId="28" borderId="64" xfId="0" applyFont="1" applyFill="1" applyBorder="1" applyProtection="1">
      <alignment horizontal="center" vertical="center"/>
    </xf>
    <xf numFmtId="0" fontId="5" fillId="28" borderId="64" xfId="0" applyFont="1" applyFill="1" applyBorder="1" applyProtection="1">
      <alignment horizontal="left" vertical="center" wrapText="1"/>
    </xf>
    <xf numFmtId="0" fontId="57" fillId="28" borderId="65" xfId="0" applyFont="1" applyFill="1" applyBorder="1" applyProtection="1">
      <alignment horizontal="center" vertical="center" wrapText="1"/>
    </xf>
    <xf numFmtId="0" fontId="58" fillId="26" borderId="40" xfId="0" applyFont="1" applyFill="1" applyBorder="1" applyProtection="1">
      <alignment horizontal="center" vertical="center"/>
    </xf>
    <xf numFmtId="0" fontId="59" fillId="28" borderId="40" xfId="0" applyFont="1" applyFill="1" applyBorder="1" applyProtection="1">
      <alignment horizontal="center" vertical="center"/>
    </xf>
    <xf numFmtId="0" fontId="60" fillId="27" borderId="40" xfId="0" applyFont="1" applyFill="1" applyBorder="1" applyProtection="1">
      <alignment horizontal="left" vertical="center" indent="1"/>
    </xf>
    <xf numFmtId="0" fontId="13" fillId="33" borderId="40" xfId="0" applyFont="1" applyFill="1" applyBorder="1" applyProtection="1">
      <alignment horizontal="left" vertical="top" wrapText="1" indent="1"/>
    </xf>
    <xf numFmtId="0" fontId="10" fillId="34" borderId="40" xfId="0" applyFont="1" applyFill="1" applyBorder="1" applyProtection="1">
      <alignment horizontal="center" vertical="center"/>
    </xf>
    <xf numFmtId="0" fontId="13" fillId="30" borderId="40" xfId="0" applyFont="1" applyFill="1" applyBorder="1" applyProtection="1">
      <alignment horizontal="left" vertical="center" wrapText="1" indent="1"/>
    </xf>
    <xf numFmtId="0" fontId="10" fillId="35" borderId="40" xfId="0" applyFont="1" applyFill="1" applyBorder="1" applyProtection="1">
      <alignment horizontal="center" vertical="center"/>
    </xf>
    <xf numFmtId="0" fontId="13" fillId="31" borderId="40" xfId="0" applyFont="1" applyFill="1" applyBorder="1" applyProtection="1">
      <alignment horizontal="left" vertical="center" wrapText="1" indent="1"/>
    </xf>
    <xf numFmtId="0" fontId="10" fillId="36" borderId="40" xfId="0" applyFont="1" applyFill="1" applyBorder="1" applyProtection="1">
      <alignment horizontal="center" vertical="center"/>
    </xf>
    <xf numFmtId="0" fontId="13" fillId="32" borderId="40" xfId="0" applyFont="1" applyFill="1" applyBorder="1" applyProtection="1">
      <alignment horizontal="left" vertical="center" wrapText="1" indent="1"/>
    </xf>
    <xf numFmtId="0" fontId="61" fillId="28" borderId="40" xfId="0" applyFont="1" applyFill="1" applyBorder="1" applyProtection="1">
      <alignment horizontal="left" vertical="center" indent="1"/>
    </xf>
    <xf numFmtId="0" fontId="51" fillId="33" borderId="40" xfId="0" applyFont="1" applyFill="1" applyBorder="1" applyProtection="1">
      <alignment horizontal="left" vertical="center" wrapText="1"/>
    </xf>
    <xf numFmtId="0" fontId="51" fillId="33" borderId="40" xfId="0" applyFont="1" applyFill="1" applyBorder="1" applyProtection="1">
      <alignment horizontal="left" vertical="top" wrapText="1"/>
    </xf>
    <xf numFmtId="0" fontId="49" fillId="27" borderId="40" xfId="0" applyFont="1" applyFill="1" applyBorder="1" applyProtection="1">
      <alignment horizontal="center" vertical="center"/>
    </xf>
    <xf numFmtId="0" fontId="51" fillId="33" borderId="40" xfId="0" applyFont="1" applyFill="1" applyBorder="1" applyProtection="1">
      <alignment horizontal="center" vertical="center"/>
    </xf>
    <xf numFmtId="0" fontId="51" fillId="33" borderId="40" xfId="0" applyFont="1" applyFill="1" applyBorder="1" applyProtection="1">
      <alignment horizontal="left" vertical="center" indent="1"/>
    </xf>
    <xf numFmtId="0" fontId="62" fillId="33" borderId="40" xfId="0" applyFont="1" applyFill="1" applyBorder="1" applyProtection="1">
      <alignment horizontal="center" vertical="center"/>
    </xf>
    <xf numFmtId="0" fontId="63" fillId="33" borderId="40" xfId="0" applyFont="1" applyFill="1" applyBorder="1" applyProtection="1">
      <alignment horizontal="center" vertical="center"/>
    </xf>
    <xf numFmtId="0" fontId="51" fillId="33" borderId="40" xfId="0" applyFont="1" applyFill="1" applyBorder="1" applyProtection="1">
      <alignment horizontal="left" vertical="center" wrapText="1" indent="1"/>
    </xf>
    <xf numFmtId="0" fontId="64" fillId="0" borderId="0" xfId="0" applyFont="1">
      <alignment horizontal="general" vertical="center"/>
    </xf>
    <xf numFmtId="0" fontId="12" fillId="0" borderId="0" xfId="0" applyFont="1">
      <alignment horizontal="general" vertical="center"/>
    </xf>
    <xf numFmtId="0" fontId="65" fillId="2" borderId="41" xfId="0" applyFont="1" applyFill="1" applyBorder="1" applyProtection="1">
      <alignment horizontal="left" vertical="center" wrapText="1"/>
    </xf>
    <xf numFmtId="0" fontId="65" fillId="2" borderId="42" xfId="0" applyFont="1" applyFill="1" applyBorder="1" applyProtection="1">
      <alignment horizontal="left" vertical="center" wrapText="1"/>
    </xf>
    <xf numFmtId="0" fontId="65" fillId="2" borderId="58" xfId="0" applyFont="1" applyFill="1" applyBorder="1" applyProtection="1">
      <alignment horizontal="left" vertical="center" wrapText="1"/>
    </xf>
    <xf numFmtId="0" fontId="66" fillId="0" borderId="23" xfId="0" applyFont="1" applyBorder="1" applyProtection="1">
      <alignment horizontal="general" vertical="center"/>
    </xf>
    <xf numFmtId="3" fontId="66" fillId="0" borderId="23" xfId="0" applyNumberFormat="1" applyFont="1" applyBorder="1" applyProtection="1">
      <alignment horizontal="general" vertical="center"/>
    </xf>
    <xf numFmtId="0" fontId="13" fillId="33" borderId="40" xfId="0" applyFont="1" applyFill="1" applyBorder="1" applyProtection="1">
      <alignment horizontal="left" vertical="top" wrapText="1" indent="1"/>
    </xf>
    <xf numFmtId="0" fontId="51" fillId="33" borderId="40" xfId="0" applyFont="1" applyFill="1" applyBorder="1" applyProtection="1">
      <alignment horizontal="left" vertical="center" wrapText="1"/>
    </xf>
    <xf numFmtId="0" fontId="13" fillId="33" borderId="40" xfId="0" applyFont="1" applyFill="1" applyBorder="1" applyProtection="1">
      <alignment horizontal="left" vertical="top" wrapText="1" inden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13" fillId="33" borderId="40" xfId="0" applyFont="1" applyFill="1" applyBorder="1" applyProtection="1">
      <alignment horizontal="left" vertical="top" wrapText="1" inden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13" fillId="33" borderId="40" xfId="0" applyFont="1" applyFill="1" applyBorder="1" applyProtection="1">
      <alignment horizontal="left" vertical="top" wrapText="1" inden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51" fillId="33" borderId="40" xfId="0" applyFont="1" applyFill="1" applyBorder="1" applyProtection="1">
      <alignment horizontal="left" vertical="top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57" xfId="0" applyFont="1" applyFill="1" applyBorder="1" applyProtection="1">
      <alignment horizontal="center" vertical="center" wrapText="1"/>
    </xf>
    <xf numFmtId="0" fontId="56" fillId="32" borderId="64" xfId="0" applyFont="1" applyFill="1" applyBorder="1" applyProtection="1">
      <alignment horizontal="left" vertical="center" wrapText="1"/>
    </xf>
    <xf numFmtId="0" fontId="65" fillId="2" borderId="41" xfId="0" applyFont="1" applyFill="1" applyBorder="1" applyProtection="1">
      <alignment horizontal="left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54" fillId="30" borderId="40" xfId="0" applyFont="1" applyFill="1" applyBorder="1" applyProtection="1">
      <alignment horizontal="left" vertical="center" wrapText="1"/>
    </xf>
    <xf numFmtId="0" fontId="54" fillId="30" borderId="40" xfId="0" applyFont="1" applyFill="1" applyBorder="1" applyProtection="1">
      <alignment horizontal="left" vertical="center" wrapText="1"/>
    </xf>
    <xf numFmtId="0" fontId="55" fillId="31" borderId="40" xfId="0" applyFont="1" applyFill="1" applyBorder="1" applyProtection="1">
      <alignment horizontal="left" vertical="center" wrapText="1"/>
    </xf>
    <xf numFmtId="0" fontId="56" fillId="32" borderId="40" xfId="0" applyFont="1" applyFill="1" applyBorder="1" applyProtection="1">
      <alignment horizontal="left" vertical="center" wrapText="1"/>
    </xf>
    <xf numFmtId="0" fontId="54" fillId="30" borderId="40" xfId="0" applyFont="1" applyFill="1" applyBorder="1" applyProtection="1">
      <alignment horizontal="left" vertical="center" wrapText="1"/>
    </xf>
    <xf numFmtId="0" fontId="55" fillId="31" borderId="40" xfId="0" applyFont="1" applyFill="1" applyBorder="1" applyProtection="1">
      <alignment horizontal="left" vertical="center" wrapText="1"/>
    </xf>
    <xf numFmtId="0" fontId="56" fillId="32" borderId="40" xfId="0" applyFont="1" applyFill="1" applyBorder="1" applyProtection="1">
      <alignment horizontal="left" vertical="center" wrapText="1"/>
    </xf>
    <xf numFmtId="0" fontId="54" fillId="30" borderId="40" xfId="0" applyFont="1" applyFill="1" applyBorder="1" applyProtection="1">
      <alignment horizontal="left" vertical="center" wrapText="1"/>
    </xf>
    <xf numFmtId="0" fontId="55" fillId="31" borderId="40" xfId="0" applyFont="1" applyFill="1" applyBorder="1" applyProtection="1">
      <alignment horizontal="left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40" xfId="0" applyFont="1" applyFill="1" applyBorder="1" applyProtection="1">
      <alignment horizontal="center" vertical="center" wrapText="1"/>
    </xf>
    <xf numFmtId="0" fontId="49" fillId="27" borderId="57" xfId="0" applyFont="1" applyFill="1" applyBorder="1" applyProtection="1">
      <alignment horizontal="center" vertical="center" wrapText="1"/>
    </xf>
    <xf numFmtId="0" fontId="55" fillId="31" borderId="40" xfId="0" applyFont="1" applyFill="1" applyBorder="1" applyProtection="1">
      <alignment horizontal="left" vertical="center" wrapText="1"/>
    </xf>
    <xf numFmtId="0" fontId="43" fillId="0" borderId="23" xfId="0" applyFont="1" applyBorder="1" applyProtection="1">
      <alignment horizontal="left" vertical="center" wrapText="1"/>
    </xf>
    <xf numFmtId="0" fontId="36" fillId="0" borderId="8" xfId="0" applyFont="1" applyBorder="1" applyProtection="1">
      <alignment horizontal="left" vertical="center" wrapText="1"/>
    </xf>
    <xf numFmtId="0" fontId="33" fillId="0" borderId="0" xfId="0" applyFont="1">
      <alignment horizontal="center" vertical="center" wrapText="1"/>
    </xf>
    <xf numFmtId="0" fontId="33" fillId="0" borderId="0" xfId="0" applyFont="1">
      <alignment horizontal="left" vertical="center" wrapText="1"/>
    </xf>
    <xf numFmtId="0" fontId="33" fillId="0" borderId="0" xfId="0" applyFont="1">
      <alignment horizontal="center" vertical="center" wrapText="1"/>
    </xf>
    <xf numFmtId="0" fontId="33" fillId="0" borderId="0" xfId="0" applyFont="1">
      <alignment horizontal="left" vertical="center" wrapText="1"/>
    </xf>
    <xf numFmtId="0" fontId="33" fillId="0" borderId="0" xfId="0" applyFont="1">
      <alignment horizontal="center" vertical="center" wrapText="1"/>
    </xf>
    <xf numFmtId="0" fontId="33" fillId="0" borderId="0" xfId="0" applyFont="1">
      <alignment horizontal="left" vertical="center" wrapText="1"/>
    </xf>
    <xf numFmtId="0" fontId="34" fillId="0" borderId="0" xfId="0" applyFont="1">
      <alignment horizontal="center" vertical="center" wrapText="1"/>
    </xf>
    <xf numFmtId="0" fontId="33" fillId="0" borderId="0" xfId="0" applyFont="1">
      <alignment horizontal="center" vertical="center" wrapText="1"/>
    </xf>
    <xf numFmtId="0" fontId="44" fillId="0" borderId="0" xfId="0" applyFont="1">
      <alignment horizontal="left" vertical="center" wrapText="1"/>
    </xf>
    <xf numFmtId="0" fontId="30" fillId="16" borderId="9" xfId="0" applyFont="1" applyFill="1" applyBorder="1" applyProtection="1">
      <alignment horizontal="center" vertical="center" wrapText="1"/>
    </xf>
    <xf numFmtId="0" fontId="16" fillId="6" borderId="9" xfId="0" applyFont="1" applyFill="1" applyBorder="1" applyProtection="1">
      <alignment horizontal="center" vertical="center" wrapText="1"/>
    </xf>
    <xf numFmtId="0" fontId="67" fillId="26" borderId="40" xfId="0" applyFont="1" applyFill="1" applyBorder="1" applyProtection="1">
      <alignment horizontal="center" vertical="center"/>
    </xf>
    <xf numFmtId="14" fontId="41" fillId="14" borderId="34" xfId="0" applyNumberFormat="1" applyFont="1" applyFill="1" applyBorder="1" applyProtection="1">
      <alignment horizontal="center" vertical="center" wrapText="1"/>
    </xf>
    <xf numFmtId="0" fontId="10" fillId="27" borderId="38" xfId="0" applyFont="1" applyFill="1" applyBorder="1" applyProtection="1">
      <alignment horizontal="left" vertical="center" indent="1"/>
    </xf>
    <xf numFmtId="0" fontId="48" fillId="28" borderId="63" xfId="0" applyFont="1" applyFill="1" applyBorder="1" applyProtection="1">
      <alignment horizontal="right" vertical="center" indent="1"/>
    </xf>
    <xf numFmtId="0" fontId="48" fillId="28" borderId="64" xfId="0" applyFont="1" applyFill="1" applyBorder="1" applyProtection="1">
      <alignment horizontal="right" vertical="center" indent="1"/>
    </xf>
    <xf numFmtId="0" fontId="65" fillId="2" borderId="66" xfId="0" applyFont="1" applyFill="1" applyBorder="1" applyProtection="1">
      <alignment horizontal="left" vertical="center" wrapText="1"/>
    </xf>
    <xf numFmtId="0" fontId="65" fillId="2" borderId="67" xfId="0" applyFont="1" applyFill="1" applyBorder="1" applyProtection="1">
      <alignment horizontal="left" vertical="center" wrapText="1"/>
    </xf>
    <xf numFmtId="0" fontId="65" fillId="2" borderId="68" xfId="0" applyFont="1" applyFill="1" applyBorder="1" applyProtection="1">
      <alignment horizontal="left" vertical="center" wrapText="1"/>
    </xf>
    <xf numFmtId="0" fontId="10" fillId="27" borderId="37" xfId="0" applyFont="1" applyFill="1" applyBorder="1" applyProtection="1">
      <alignment horizontal="left" vertical="center" indent="1"/>
    </xf>
    <xf numFmtId="0" fontId="10" fillId="27" borderId="55" xfId="0" applyFont="1" applyFill="1" applyBorder="1" applyProtection="1">
      <alignment horizontal="left" vertical="center" indent="1"/>
    </xf>
    <xf numFmtId="168" fontId="13" fillId="2" borderId="57" xfId="0" applyNumberFormat="1" applyFont="1" applyFill="1" applyBorder="1" applyProtection="1">
      <alignment horizontal="left" vertical="center" indent="1"/>
    </xf>
    <xf numFmtId="0" fontId="13" fillId="2" borderId="58" xfId="0" applyFont="1" applyFill="1" applyBorder="1" applyProtection="1">
      <alignment horizontal="left" vertical="center"/>
    </xf>
    <xf numFmtId="0" fontId="53" fillId="2" borderId="58" xfId="0" applyFont="1" applyFill="1" applyBorder="1" applyProtection="1">
      <alignment horizontal="left" vertical="center"/>
    </xf>
    <xf numFmtId="0" fontId="35" fillId="0" borderId="9" xfId="0" applyFont="1" applyBorder="1" applyProtection="1">
      <alignment horizontal="left" vertical="center" wrapText="1"/>
    </xf>
    <xf numFmtId="0" fontId="68" fillId="33" borderId="40" xfId="0" applyFont="1" applyFill="1" applyBorder="1" applyProtection="1">
      <alignment horizontal="left" vertical="top" wrapText="1" indent="1"/>
    </xf>
    <xf numFmtId="0" fontId="69" fillId="33" borderId="40" xfId="0" applyFont="1" applyFill="1" applyBorder="1" applyProtection="1">
      <alignment horizontal="left" vertical="center" wrapText="1"/>
    </xf>
    <xf numFmtId="0" fontId="70" fillId="33" borderId="40" xfId="0" applyFont="1" applyFill="1" applyBorder="1" applyProtection="1">
      <alignment horizontal="left" vertical="top" wrapText="1" indent="1"/>
    </xf>
    <xf numFmtId="0" fontId="71" fillId="33" borderId="40" xfId="0" applyFont="1" applyFill="1" applyBorder="1" applyProtection="1">
      <alignment horizontal="left" vertical="top" wrapText="1"/>
    </xf>
    <xf numFmtId="0" fontId="72" fillId="33" borderId="40" xfId="0" applyFont="1" applyFill="1" applyBorder="1" applyProtection="1">
      <alignment horizontal="left" vertical="top" wrapText="1"/>
    </xf>
    <xf numFmtId="0" fontId="73" fillId="33" borderId="40" xfId="0" applyFont="1" applyFill="1" applyBorder="1" applyProtection="1">
      <alignment horizontal="left" vertical="top" wrapText="1"/>
    </xf>
    <xf numFmtId="0" fontId="74" fillId="33" borderId="40" xfId="0" applyFont="1" applyFill="1" applyBorder="1" applyProtection="1">
      <alignment horizontal="left" vertical="top" wrapText="1"/>
    </xf>
    <xf numFmtId="0" fontId="75" fillId="33" borderId="40" xfId="0" applyFont="1" applyFill="1" applyBorder="1" applyProtection="1">
      <alignment horizontal="left" vertical="top" wrapText="1"/>
    </xf>
    <xf numFmtId="0" fontId="76" fillId="33" borderId="40" xfId="0" applyFont="1" applyFill="1" applyBorder="1" applyProtection="1">
      <alignment horizontal="left" vertical="top" wrapText="1" indent="1"/>
    </xf>
    <xf numFmtId="0" fontId="77" fillId="33" borderId="40" xfId="0" applyFont="1" applyFill="1" applyBorder="1" applyProtection="1">
      <alignment horizontal="left" vertical="top" wrapText="1"/>
    </xf>
    <xf numFmtId="0" fontId="78" fillId="33" borderId="40" xfId="0" applyFont="1" applyFill="1" applyBorder="1" applyProtection="1">
      <alignment horizontal="left" vertical="top" wrapText="1"/>
    </xf>
    <xf numFmtId="0" fontId="79" fillId="33" borderId="40" xfId="0" applyFont="1" applyFill="1" applyBorder="1" applyProtection="1">
      <alignment horizontal="left" vertical="top" wrapText="1"/>
    </xf>
    <xf numFmtId="0" fontId="80" fillId="33" borderId="40" xfId="0" applyFont="1" applyFill="1" applyBorder="1" applyProtection="1">
      <alignment horizontal="left" vertical="top" wrapText="1"/>
    </xf>
    <xf numFmtId="0" fontId="81" fillId="33" borderId="40" xfId="0" applyFont="1" applyFill="1" applyBorder="1" applyProtection="1">
      <alignment horizontal="left" vertical="top" wrapText="1"/>
    </xf>
    <xf numFmtId="0" fontId="82" fillId="33" borderId="40" xfId="0" applyFont="1" applyFill="1" applyBorder="1" applyProtection="1">
      <alignment horizontal="left" vertical="top" wrapText="1"/>
    </xf>
    <xf numFmtId="0" fontId="83" fillId="33" borderId="40" xfId="0" applyFont="1" applyFill="1" applyBorder="1" applyProtection="1">
      <alignment horizontal="left" vertical="top" wrapText="1" indent="1"/>
    </xf>
    <xf numFmtId="0" fontId="84" fillId="33" borderId="40" xfId="0" applyFont="1" applyFill="1" applyBorder="1" applyProtection="1">
      <alignment horizontal="left" vertical="top" wrapText="1"/>
    </xf>
    <xf numFmtId="0" fontId="85" fillId="33" borderId="40" xfId="0" applyFont="1" applyFill="1" applyBorder="1" applyProtection="1">
      <alignment horizontal="left" vertical="top" wrapText="1"/>
    </xf>
    <xf numFmtId="0" fontId="86" fillId="33" borderId="40" xfId="0" applyFont="1" applyFill="1" applyBorder="1" applyProtection="1">
      <alignment horizontal="left" vertical="top" wrapText="1"/>
    </xf>
    <xf numFmtId="0" fontId="87" fillId="33" borderId="40" xfId="0" applyFont="1" applyFill="1" applyBorder="1" applyProtection="1">
      <alignment horizontal="left" vertical="top" wrapText="1"/>
    </xf>
    <xf numFmtId="0" fontId="88" fillId="33" borderId="40" xfId="0" applyFont="1" applyFill="1" applyBorder="1" applyProtection="1">
      <alignment horizontal="left" vertical="top" wrapText="1"/>
    </xf>
    <xf numFmtId="0" fontId="89" fillId="27" borderId="40" xfId="0" applyFont="1" applyFill="1" applyBorder="1" applyProtection="1">
      <alignment horizontal="center" vertical="center" wrapText="1"/>
    </xf>
    <xf numFmtId="0" fontId="90" fillId="27" borderId="40" xfId="0" applyFont="1" applyFill="1" applyBorder="1" applyProtection="1">
      <alignment horizontal="center" vertical="center" wrapText="1"/>
    </xf>
    <xf numFmtId="0" fontId="91" fillId="27" borderId="40" xfId="0" applyFont="1" applyFill="1" applyBorder="1" applyProtection="1">
      <alignment horizontal="center" vertical="center" wrapText="1"/>
    </xf>
    <xf numFmtId="0" fontId="92" fillId="27" borderId="40" xfId="0" applyFont="1" applyFill="1" applyBorder="1" applyProtection="1">
      <alignment horizontal="center" vertical="center" wrapText="1"/>
    </xf>
    <xf numFmtId="0" fontId="93" fillId="27" borderId="40" xfId="0" applyFont="1" applyFill="1" applyBorder="1" applyProtection="1">
      <alignment horizontal="center" vertical="center" wrapText="1"/>
    </xf>
    <xf numFmtId="0" fontId="94" fillId="27" borderId="57" xfId="0" applyFont="1" applyFill="1" applyBorder="1" applyProtection="1">
      <alignment horizontal="center" vertical="center" wrapText="1"/>
    </xf>
    <xf numFmtId="0" fontId="95" fillId="32" borderId="64" xfId="0" applyFont="1" applyFill="1" applyBorder="1" applyProtection="1">
      <alignment horizontal="left" vertical="center" wrapText="1"/>
    </xf>
    <xf numFmtId="0" fontId="96" fillId="2" borderId="41" xfId="0" applyFont="1" applyFill="1" applyBorder="1" applyProtection="1">
      <alignment horizontal="left" vertical="center" wrapText="1"/>
    </xf>
    <xf numFmtId="0" fontId="97" fillId="27" borderId="40" xfId="0" applyFont="1" applyFill="1" applyBorder="1" applyProtection="1">
      <alignment horizontal="center" vertical="center" wrapText="1"/>
    </xf>
    <xf numFmtId="0" fontId="98" fillId="27" borderId="40" xfId="0" applyFont="1" applyFill="1" applyBorder="1" applyProtection="1">
      <alignment horizontal="center" vertical="center" wrapText="1"/>
    </xf>
    <xf numFmtId="0" fontId="99" fillId="27" borderId="40" xfId="0" applyFont="1" applyFill="1" applyBorder="1" applyProtection="1">
      <alignment horizontal="center" vertical="center" wrapText="1"/>
    </xf>
    <xf numFmtId="0" fontId="100" fillId="27" borderId="40" xfId="0" applyFont="1" applyFill="1" applyBorder="1" applyProtection="1">
      <alignment horizontal="center" vertical="center" wrapText="1"/>
    </xf>
    <xf numFmtId="0" fontId="101" fillId="27" borderId="40" xfId="0" applyFont="1" applyFill="1" applyBorder="1" applyProtection="1">
      <alignment horizontal="center" vertical="center" wrapText="1"/>
    </xf>
    <xf numFmtId="0" fontId="102" fillId="27" borderId="57" xfId="0" applyFont="1" applyFill="1" applyBorder="1" applyProtection="1">
      <alignment horizontal="center" vertical="center" wrapText="1"/>
    </xf>
    <xf numFmtId="0" fontId="103" fillId="30" borderId="40" xfId="0" applyFont="1" applyFill="1" applyBorder="1" applyProtection="1">
      <alignment horizontal="left" vertical="center" wrapText="1"/>
    </xf>
    <xf numFmtId="0" fontId="104" fillId="30" borderId="40" xfId="0" applyFont="1" applyFill="1" applyBorder="1" applyProtection="1">
      <alignment horizontal="left" vertical="center" wrapText="1"/>
    </xf>
    <xf numFmtId="0" fontId="105" fillId="31" borderId="40" xfId="0" applyFont="1" applyFill="1" applyBorder="1" applyProtection="1">
      <alignment horizontal="left" vertical="center" wrapText="1"/>
    </xf>
    <xf numFmtId="0" fontId="106" fillId="32" borderId="40" xfId="0" applyFont="1" applyFill="1" applyBorder="1" applyProtection="1">
      <alignment horizontal="left" vertical="center" wrapText="1"/>
    </xf>
    <xf numFmtId="0" fontId="107" fillId="28" borderId="40" xfId="0" applyFont="1" applyFill="1" applyBorder="1" applyProtection="1">
      <alignment horizontal="left" vertical="center" wrapText="1"/>
    </xf>
    <xf numFmtId="0" fontId="108" fillId="30" borderId="40" xfId="0" applyFont="1" applyFill="1" applyBorder="1" applyProtection="1">
      <alignment horizontal="left" vertical="center" wrapText="1"/>
    </xf>
    <xf numFmtId="0" fontId="109" fillId="31" borderId="40" xfId="0" applyFont="1" applyFill="1" applyBorder="1" applyProtection="1">
      <alignment horizontal="left" vertical="center" wrapText="1"/>
    </xf>
    <xf numFmtId="0" fontId="110" fillId="32" borderId="40" xfId="0" applyFont="1" applyFill="1" applyBorder="1" applyProtection="1">
      <alignment horizontal="left" vertical="center" wrapText="1"/>
    </xf>
    <xf numFmtId="0" fontId="111" fillId="28" borderId="40" xfId="0" applyFont="1" applyFill="1" applyBorder="1" applyProtection="1">
      <alignment horizontal="left" vertical="center" wrapText="1"/>
    </xf>
    <xf numFmtId="0" fontId="112" fillId="30" borderId="40" xfId="0" applyFont="1" applyFill="1" applyBorder="1" applyProtection="1">
      <alignment horizontal="left" vertical="center" wrapText="1"/>
    </xf>
    <xf numFmtId="0" fontId="113" fillId="31" borderId="40" xfId="0" applyFont="1" applyFill="1" applyBorder="1" applyProtection="1">
      <alignment horizontal="left" vertical="center" wrapText="1"/>
    </xf>
    <xf numFmtId="0" fontId="114" fillId="28" borderId="40" xfId="0" applyFont="1" applyFill="1" applyBorder="1" applyProtection="1">
      <alignment horizontal="left" vertical="center" wrapText="1"/>
    </xf>
    <xf numFmtId="0" fontId="115" fillId="28" borderId="64" xfId="0" applyFont="1" applyFill="1" applyBorder="1" applyProtection="1">
      <alignment horizontal="left" vertical="center" wrapText="1"/>
    </xf>
    <xf numFmtId="0" fontId="116" fillId="27" borderId="40" xfId="0" applyFont="1" applyFill="1" applyBorder="1" applyProtection="1">
      <alignment horizontal="center" vertical="center" wrapText="1"/>
    </xf>
    <xf numFmtId="0" fontId="117" fillId="27" borderId="40" xfId="0" applyFont="1" applyFill="1" applyBorder="1" applyProtection="1">
      <alignment horizontal="center" vertical="center" wrapText="1"/>
    </xf>
    <xf numFmtId="0" fontId="118" fillId="27" borderId="40" xfId="0" applyFont="1" applyFill="1" applyBorder="1" applyProtection="1">
      <alignment horizontal="center" vertical="center" wrapText="1"/>
    </xf>
    <xf numFmtId="0" fontId="119" fillId="27" borderId="40" xfId="0" applyFont="1" applyFill="1" applyBorder="1" applyProtection="1">
      <alignment horizontal="center" vertical="center" wrapText="1"/>
    </xf>
    <xf numFmtId="0" fontId="120" fillId="27" borderId="40" xfId="0" applyFont="1" applyFill="1" applyBorder="1" applyProtection="1">
      <alignment horizontal="center" vertical="center" wrapText="1"/>
    </xf>
    <xf numFmtId="0" fontId="121" fillId="27" borderId="57" xfId="0" applyFont="1" applyFill="1" applyBorder="1" applyProtection="1">
      <alignment horizontal="center" vertical="center" wrapText="1"/>
    </xf>
    <xf numFmtId="0" fontId="122" fillId="31" borderId="40" xfId="0" applyFont="1" applyFill="1" applyBorder="1" applyProtection="1">
      <alignment horizontal="left" vertical="center" wrapText="1"/>
    </xf>
    <xf numFmtId="0" fontId="123" fillId="0" borderId="23" xfId="0" applyFont="1" applyBorder="1" applyProtection="1">
      <alignment horizontal="left" vertical="center" wrapText="1"/>
    </xf>
    <xf numFmtId="0" fontId="124" fillId="0" borderId="9" xfId="0" applyFont="1" applyBorder="1" applyProtection="1">
      <alignment horizontal="left" vertical="center" wrapText="1"/>
    </xf>
    <xf numFmtId="0" fontId="125" fillId="0" borderId="8" xfId="0" applyFont="1" applyBorder="1" applyProtection="1">
      <alignment horizontal="left" vertical="center" wrapText="1"/>
    </xf>
    <xf numFmtId="0" fontId="126" fillId="0" borderId="9" xfId="0" applyFont="1" applyBorder="1" applyProtection="1">
      <alignment horizontal="left" vertical="center" wrapText="1"/>
    </xf>
    <xf numFmtId="0" fontId="127" fillId="0" borderId="9" xfId="0" applyFont="1" applyBorder="1" applyProtection="1">
      <alignment horizontal="left" vertical="center" wrapText="1"/>
    </xf>
    <xf numFmtId="0" fontId="128" fillId="0" borderId="9" xfId="0" applyFont="1" applyBorder="1" applyProtection="1">
      <alignment horizontal="left" vertical="center" wrapText="1"/>
    </xf>
    <xf numFmtId="0" fontId="129" fillId="0" borderId="9" xfId="0" applyFont="1" applyBorder="1" applyProtection="1">
      <alignment horizontal="left" vertical="center" wrapText="1"/>
    </xf>
    <xf numFmtId="0" fontId="130" fillId="0" borderId="9" xfId="0" applyFont="1" applyBorder="1" applyProtection="1">
      <alignment horizontal="left" vertical="center" wrapText="1"/>
    </xf>
    <xf numFmtId="0" fontId="131" fillId="0" borderId="9" xfId="0" applyFont="1" applyBorder="1" applyProtection="1">
      <alignment horizontal="left" vertical="center" wrapText="1"/>
    </xf>
    <xf numFmtId="0" fontId="132" fillId="0" borderId="9" xfId="0" applyFont="1" applyBorder="1" applyProtection="1">
      <alignment horizontal="left" vertical="center" wrapText="1"/>
    </xf>
    <xf numFmtId="0" fontId="133" fillId="0" borderId="9" xfId="0" applyFont="1" applyBorder="1" applyProtection="1">
      <alignment horizontal="left" vertical="center" wrapText="1"/>
    </xf>
    <xf numFmtId="0" fontId="134" fillId="0" borderId="9" xfId="0" applyFont="1" applyBorder="1" applyProtection="1">
      <alignment horizontal="left" vertical="center" wrapText="1"/>
    </xf>
    <xf numFmtId="0" fontId="135" fillId="0" borderId="9" xfId="0" applyFont="1" applyBorder="1" applyProtection="1">
      <alignment horizontal="left" vertical="center" wrapText="1"/>
    </xf>
    <xf numFmtId="0" fontId="136" fillId="0" borderId="0" xfId="0" applyFont="1">
      <alignment horizontal="center" vertical="center" wrapText="1"/>
    </xf>
    <xf numFmtId="0" fontId="137" fillId="0" borderId="0" xfId="0" applyFont="1">
      <alignment horizontal="left" vertical="center" wrapText="1"/>
    </xf>
    <xf numFmtId="0" fontId="138" fillId="0" borderId="0" xfId="0" applyFont="1">
      <alignment horizontal="center" vertical="center" wrapText="1"/>
    </xf>
    <xf numFmtId="0" fontId="139" fillId="0" borderId="0" xfId="0" applyFont="1">
      <alignment horizontal="left" vertical="center" wrapText="1"/>
    </xf>
    <xf numFmtId="0" fontId="140" fillId="0" borderId="0" xfId="0" applyFont="1">
      <alignment horizontal="center" vertical="center" wrapText="1"/>
    </xf>
    <xf numFmtId="0" fontId="141" fillId="0" borderId="0" xfId="0" applyFont="1">
      <alignment horizontal="left" vertical="center" wrapText="1"/>
    </xf>
    <xf numFmtId="0" fontId="142" fillId="0" borderId="0" xfId="0" applyFont="1">
      <alignment horizontal="center" vertical="center" wrapText="1"/>
    </xf>
    <xf numFmtId="0" fontId="143" fillId="0" borderId="0" xfId="0" applyFont="1">
      <alignment horizontal="center" vertical="center" wrapText="1"/>
    </xf>
    <xf numFmtId="0" fontId="144" fillId="0" borderId="0" xfId="0" applyFont="1">
      <alignment horizontal="left" vertical="center" wrapText="1"/>
    </xf>
    <xf numFmtId="0" fontId="145" fillId="16" borderId="9" xfId="0" applyFont="1" applyFill="1" applyBorder="1" applyProtection="1">
      <alignment horizontal="center" vertical="center" wrapText="1"/>
    </xf>
    <xf numFmtId="0" fontId="146" fillId="6" borderId="9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styles" Target="styles.xml"/><Relationship Id="rId7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2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0</xdr:colOff>
      <xdr:row>0</xdr:row>
      <xdr:rowOff>0</xdr:rowOff>
    </xdr:from>
    <xdr:ext cx="9448721" cy="3091842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15531465" y="0"/>
          <a:ext cx="9448721" cy="3091842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  <pageSetUpPr fitToPage="1"/>
  </sheetPr>
  <dimension ref="A1"/>
  <sheetViews>
    <sheetView workbookViewId="0" zoomScale="90" zoomScaleNormal="90"/>
  </sheetViews>
  <sheetFormatPr baseColWidth="10" defaultColWidth="9" defaultRowHeight="21.9975" customHeight="1"/>
  <cols>
    <col min="1" max="1" width="3.9990234375" customWidth="1" style="245"/>
    <col min="2" max="2" width="18" customWidth="1" style="245"/>
    <col min="3" max="3" width="15.9990234375" customWidth="1" style="245"/>
    <col min="4" max="5" width="13.998046875" customWidth="1" style="245"/>
    <col min="6" max="10" width="37.998046875" customWidth="1" style="245"/>
  </cols>
  <sheetData>
    <row r="1" ht="50" customHeight="1">
      <c r="A1" s="320" t="s">
        <v>0</v>
      </c>
      <c r="B1" s="320"/>
      <c r="C1" s="320"/>
      <c r="D1" s="320"/>
      <c r="E1" s="320"/>
      <c r="F1" s="320"/>
      <c r="G1" s="320"/>
      <c r="H1" s="320"/>
      <c r="I1" s="320"/>
      <c r="J1" s="320"/>
    </row>
    <row r="2" ht="25" customHeight="1">
      <c r="A2" s="321" t="s">
        <v>1</v>
      </c>
      <c r="B2" s="321"/>
      <c r="C2" s="321"/>
      <c r="D2" s="321"/>
      <c r="E2" s="321"/>
      <c r="F2" s="321"/>
      <c r="G2" s="321"/>
      <c r="H2" s="321"/>
      <c r="I2" s="321"/>
      <c r="J2" s="321"/>
    </row>
    <row r="4" ht="32" customHeight="1">
      <c r="A4" s="322" t="s">
        <v>2</v>
      </c>
      <c r="B4" s="322"/>
      <c r="C4" s="322"/>
      <c r="D4" s="322"/>
      <c r="E4" s="322"/>
      <c r="F4" s="322"/>
      <c r="G4" s="322"/>
      <c r="H4" s="322"/>
      <c r="I4" s="322"/>
      <c r="J4" s="322"/>
    </row>
    <row r="5" ht="110" customHeight="1">
      <c r="A5" s="423" t="s">
        <v>3</v>
      </c>
      <c r="B5" s="323"/>
      <c r="C5" s="323"/>
      <c r="D5" s="323"/>
      <c r="E5" s="323"/>
      <c r="F5" s="323"/>
      <c r="G5" s="323"/>
      <c r="H5" s="323"/>
      <c r="I5" s="323"/>
      <c r="J5" s="323"/>
    </row>
    <row r="7" ht="32" customHeight="1">
      <c r="A7" s="322" t="s">
        <v>4</v>
      </c>
      <c r="B7" s="322"/>
      <c r="C7" s="322"/>
      <c r="D7" s="322"/>
      <c r="E7" s="322"/>
      <c r="F7" s="322"/>
      <c r="G7" s="322"/>
      <c r="H7" s="322"/>
      <c r="I7" s="322"/>
      <c r="J7" s="322"/>
    </row>
    <row r="8" ht="40" customHeight="1">
      <c r="A8" s="324" t="s">
        <v>5</v>
      </c>
      <c r="B8" s="324"/>
      <c r="C8" s="325" t="s">
        <v>6</v>
      </c>
      <c r="D8" s="325"/>
      <c r="E8" s="325"/>
      <c r="F8" s="325"/>
      <c r="G8" s="325"/>
      <c r="H8" s="325"/>
      <c r="I8" s="325"/>
      <c r="J8" s="325"/>
    </row>
    <row r="9" ht="40" customHeight="1">
      <c r="A9" s="326" t="s">
        <v>7</v>
      </c>
      <c r="B9" s="326"/>
      <c r="C9" s="327" t="s">
        <v>8</v>
      </c>
      <c r="D9" s="327"/>
      <c r="E9" s="327"/>
      <c r="F9" s="327"/>
      <c r="G9" s="327"/>
      <c r="H9" s="327"/>
      <c r="I9" s="327"/>
      <c r="J9" s="327"/>
    </row>
    <row r="10" ht="40" customHeight="1">
      <c r="A10" s="328" t="s">
        <v>9</v>
      </c>
      <c r="B10" s="328"/>
      <c r="C10" s="329" t="s">
        <v>10</v>
      </c>
      <c r="D10" s="329"/>
      <c r="E10" s="329"/>
      <c r="F10" s="329"/>
      <c r="G10" s="329"/>
      <c r="H10" s="329"/>
      <c r="I10" s="329"/>
      <c r="J10" s="329"/>
    </row>
    <row r="12" ht="32" customHeight="1">
      <c r="A12" s="322" t="s">
        <v>11</v>
      </c>
      <c r="B12" s="322"/>
      <c r="C12" s="322"/>
      <c r="D12" s="322"/>
      <c r="E12" s="322"/>
      <c r="F12" s="322"/>
      <c r="G12" s="322"/>
      <c r="H12" s="322"/>
      <c r="I12" s="322"/>
      <c r="J12" s="322"/>
    </row>
    <row r="14" ht="28" customHeight="1">
      <c r="A14" s="330" t="s">
        <v>12</v>
      </c>
      <c r="B14" s="330"/>
      <c r="C14" s="330"/>
      <c r="D14" s="330"/>
      <c r="E14" s="330"/>
      <c r="F14" s="330"/>
      <c r="G14" s="330"/>
      <c r="H14" s="330"/>
      <c r="I14" s="330"/>
      <c r="J14" s="330"/>
    </row>
    <row r="15" ht="25" customHeight="1">
      <c r="A15" s="276" t="s">
        <v>13</v>
      </c>
      <c r="B15" s="276" t="s">
        <v>14</v>
      </c>
      <c r="C15" s="276" t="s">
        <v>15</v>
      </c>
      <c r="D15" s="276" t="s">
        <v>16</v>
      </c>
      <c r="E15" s="276" t="s">
        <v>17</v>
      </c>
      <c r="F15" s="276" t="s">
        <v>18</v>
      </c>
      <c r="G15" s="276" t="s">
        <v>19</v>
      </c>
      <c r="H15" s="276" t="s">
        <v>20</v>
      </c>
      <c r="I15" s="276" t="s">
        <v>21</v>
      </c>
      <c r="J15" s="276" t="s">
        <v>22</v>
      </c>
    </row>
    <row r="16" s="6" customFormat="1" ht="58" customHeight="1">
      <c r="A16" s="331" t="s">
        <v>13</v>
      </c>
      <c r="B16" s="331" t="s">
        <v>23</v>
      </c>
      <c r="C16" s="331" t="s">
        <v>24</v>
      </c>
      <c r="D16" s="331" t="s">
        <v>25</v>
      </c>
      <c r="E16" s="331" t="s">
        <v>26</v>
      </c>
      <c r="F16" s="331" t="s">
        <v>27</v>
      </c>
      <c r="G16" s="424" t="s">
        <v>28</v>
      </c>
      <c r="H16" s="331" t="s">
        <v>29</v>
      </c>
      <c r="I16" s="331" t="s">
        <v>30</v>
      </c>
      <c r="J16" s="331" t="s">
        <v>31</v>
      </c>
    </row>
    <row r="18" ht="28" customHeight="1">
      <c r="A18" s="330" t="s">
        <v>32</v>
      </c>
      <c r="B18" s="330"/>
      <c r="C18" s="330"/>
      <c r="D18" s="330"/>
      <c r="E18" s="330"/>
      <c r="F18" s="330"/>
      <c r="G18" s="330"/>
      <c r="H18" s="330"/>
      <c r="I18" s="330"/>
      <c r="J18" s="330"/>
    </row>
    <row r="19" ht="154.99999999999997" customHeight="1">
      <c r="A19" s="425" t="s">
        <v>33</v>
      </c>
      <c r="B19" s="323"/>
      <c r="C19" s="323"/>
      <c r="D19" s="323"/>
      <c r="E19" s="323"/>
      <c r="F19" s="323"/>
      <c r="G19" s="323"/>
      <c r="H19" s="323"/>
      <c r="I19" s="323"/>
      <c r="J19" s="323"/>
    </row>
    <row r="20" ht="25" customHeight="1">
      <c r="A20" s="276" t="s">
        <v>13</v>
      </c>
      <c r="B20" s="276" t="s">
        <v>15</v>
      </c>
      <c r="C20" s="276" t="s">
        <v>34</v>
      </c>
      <c r="D20" s="276" t="s">
        <v>20</v>
      </c>
      <c r="E20" s="276" t="s">
        <v>35</v>
      </c>
      <c r="F20" s="276" t="s">
        <v>36</v>
      </c>
      <c r="G20" s="276" t="s">
        <v>37</v>
      </c>
      <c r="H20" s="276" t="s">
        <v>38</v>
      </c>
      <c r="I20" s="276" t="s">
        <v>39</v>
      </c>
      <c r="J20" s="276" t="s">
        <v>40</v>
      </c>
    </row>
    <row r="21" ht="130" customHeight="1">
      <c r="A21" s="332" t="s">
        <v>13</v>
      </c>
      <c r="B21" s="332" t="s">
        <v>24</v>
      </c>
      <c r="C21" s="332" t="s">
        <v>41</v>
      </c>
      <c r="D21" s="426" t="s">
        <v>42</v>
      </c>
      <c r="E21" s="332" t="s">
        <v>43</v>
      </c>
      <c r="F21" s="427" t="s">
        <v>44</v>
      </c>
      <c r="G21" s="428" t="s">
        <v>45</v>
      </c>
      <c r="H21" s="429" t="s">
        <v>46</v>
      </c>
      <c r="I21" s="430" t="s">
        <v>47</v>
      </c>
      <c r="J21" s="332" t="s">
        <v>48</v>
      </c>
    </row>
    <row r="23" ht="28" customHeight="1">
      <c r="A23" s="330" t="s">
        <v>49</v>
      </c>
      <c r="B23" s="330"/>
      <c r="C23" s="330"/>
      <c r="D23" s="330"/>
      <c r="E23" s="330"/>
      <c r="F23" s="330"/>
      <c r="G23" s="330"/>
      <c r="H23" s="330"/>
      <c r="I23" s="330"/>
      <c r="J23" s="330"/>
    </row>
    <row r="24" ht="154.99999999999997" customHeight="1">
      <c r="A24" s="431" t="s">
        <v>50</v>
      </c>
      <c r="B24" s="323"/>
      <c r="C24" s="323"/>
      <c r="D24" s="323"/>
      <c r="E24" s="323"/>
      <c r="F24" s="323"/>
      <c r="G24" s="323"/>
      <c r="H24" s="323"/>
      <c r="I24" s="323"/>
      <c r="J24" s="323"/>
    </row>
    <row r="25" ht="25" customHeight="1">
      <c r="A25" s="276" t="s">
        <v>13</v>
      </c>
      <c r="B25" s="276" t="s">
        <v>15</v>
      </c>
      <c r="C25" s="276" t="s">
        <v>34</v>
      </c>
      <c r="D25" s="276" t="s">
        <v>20</v>
      </c>
      <c r="E25" s="276" t="s">
        <v>35</v>
      </c>
      <c r="F25" s="276" t="s">
        <v>36</v>
      </c>
      <c r="G25" s="276" t="s">
        <v>37</v>
      </c>
      <c r="H25" s="276" t="s">
        <v>38</v>
      </c>
      <c r="I25" s="276" t="s">
        <v>39</v>
      </c>
      <c r="J25" s="276" t="s">
        <v>40</v>
      </c>
    </row>
    <row r="26" ht="130" customHeight="1">
      <c r="A26" s="332" t="s">
        <v>13</v>
      </c>
      <c r="B26" s="332" t="s">
        <v>24</v>
      </c>
      <c r="C26" s="332" t="s">
        <v>41</v>
      </c>
      <c r="D26" s="432" t="s">
        <v>51</v>
      </c>
      <c r="E26" s="332" t="s">
        <v>43</v>
      </c>
      <c r="F26" s="433" t="s">
        <v>44</v>
      </c>
      <c r="G26" s="434" t="s">
        <v>45</v>
      </c>
      <c r="H26" s="435" t="s">
        <v>46</v>
      </c>
      <c r="I26" s="436" t="s">
        <v>47</v>
      </c>
      <c r="J26" s="437" t="s">
        <v>52</v>
      </c>
    </row>
    <row r="28" ht="28" customHeight="1">
      <c r="A28" s="330" t="s">
        <v>53</v>
      </c>
      <c r="B28" s="330"/>
      <c r="C28" s="330"/>
      <c r="D28" s="330"/>
      <c r="E28" s="330"/>
      <c r="F28" s="330"/>
      <c r="G28" s="330"/>
      <c r="H28" s="330"/>
      <c r="I28" s="330"/>
      <c r="J28" s="330"/>
    </row>
    <row r="29" ht="154.99999999999997" customHeight="1">
      <c r="A29" s="438" t="s">
        <v>54</v>
      </c>
      <c r="B29" s="323"/>
      <c r="C29" s="323"/>
      <c r="D29" s="323"/>
      <c r="E29" s="323"/>
      <c r="F29" s="323"/>
      <c r="G29" s="323"/>
      <c r="H29" s="323"/>
      <c r="I29" s="323"/>
      <c r="J29" s="323"/>
    </row>
    <row r="30" ht="25" customHeight="1">
      <c r="A30" s="276" t="s">
        <v>13</v>
      </c>
      <c r="B30" s="276" t="s">
        <v>15</v>
      </c>
      <c r="C30" s="276" t="s">
        <v>34</v>
      </c>
      <c r="D30" s="276" t="s">
        <v>20</v>
      </c>
      <c r="E30" s="276" t="s">
        <v>35</v>
      </c>
      <c r="F30" s="276" t="s">
        <v>36</v>
      </c>
      <c r="G30" s="276" t="s">
        <v>37</v>
      </c>
      <c r="H30" s="276" t="s">
        <v>38</v>
      </c>
      <c r="I30" s="276" t="s">
        <v>39</v>
      </c>
      <c r="J30" s="276" t="s">
        <v>40</v>
      </c>
    </row>
    <row r="31" ht="130" customHeight="1">
      <c r="A31" s="332" t="s">
        <v>13</v>
      </c>
      <c r="B31" s="332" t="s">
        <v>55</v>
      </c>
      <c r="C31" s="332" t="s">
        <v>24</v>
      </c>
      <c r="D31" s="439" t="s">
        <v>56</v>
      </c>
      <c r="E31" s="332" t="s">
        <v>57</v>
      </c>
      <c r="F31" s="440" t="s">
        <v>58</v>
      </c>
      <c r="G31" s="441" t="s">
        <v>59</v>
      </c>
      <c r="H31" s="442" t="s">
        <v>60</v>
      </c>
      <c r="I31" s="443" t="s">
        <v>61</v>
      </c>
      <c r="J31" s="332" t="s">
        <v>62</v>
      </c>
    </row>
    <row r="33" ht="32" customHeight="1">
      <c r="A33" s="322" t="s">
        <v>63</v>
      </c>
      <c r="B33" s="322"/>
      <c r="C33" s="322"/>
      <c r="D33" s="322"/>
      <c r="E33" s="322"/>
      <c r="F33" s="322"/>
      <c r="G33" s="322"/>
      <c r="H33" s="322"/>
      <c r="I33" s="322"/>
      <c r="J33" s="322"/>
    </row>
    <row r="34" ht="25" customHeight="1">
      <c r="A34" s="333" t="s">
        <v>64</v>
      </c>
      <c r="B34" s="333" t="s">
        <v>65</v>
      </c>
      <c r="C34" s="333"/>
      <c r="D34" s="333"/>
      <c r="E34" s="333"/>
      <c r="F34" s="333"/>
      <c r="G34" s="333"/>
      <c r="H34" s="333" t="s">
        <v>66</v>
      </c>
      <c r="I34" s="333"/>
      <c r="J34" s="333"/>
    </row>
    <row r="35" ht="21.9975" customHeight="1">
      <c r="A35" s="334" t="s">
        <v>67</v>
      </c>
      <c r="B35" s="335" t="s">
        <v>68</v>
      </c>
      <c r="C35" s="335"/>
      <c r="D35" s="335"/>
      <c r="E35" s="335"/>
      <c r="F35" s="335"/>
      <c r="G35" s="335"/>
      <c r="H35" s="336" t="s">
        <v>69</v>
      </c>
      <c r="I35" s="336"/>
      <c r="J35" s="336"/>
    </row>
    <row r="36" ht="21.9975" customHeight="1">
      <c r="A36" s="334" t="s">
        <v>70</v>
      </c>
      <c r="B36" s="335" t="s">
        <v>71</v>
      </c>
      <c r="C36" s="335"/>
      <c r="D36" s="335"/>
      <c r="E36" s="335"/>
      <c r="F36" s="335"/>
      <c r="G36" s="335"/>
      <c r="H36" s="336" t="s">
        <v>69</v>
      </c>
      <c r="I36" s="336"/>
      <c r="J36" s="336"/>
    </row>
    <row r="37" ht="21.9975" customHeight="1">
      <c r="A37" s="334" t="s">
        <v>72</v>
      </c>
      <c r="B37" s="335" t="s">
        <v>73</v>
      </c>
      <c r="C37" s="335"/>
      <c r="D37" s="335"/>
      <c r="E37" s="335"/>
      <c r="F37" s="335"/>
      <c r="G37" s="335"/>
      <c r="H37" s="336" t="s">
        <v>69</v>
      </c>
      <c r="I37" s="336"/>
      <c r="J37" s="336"/>
    </row>
    <row r="38" ht="21.9975" customHeight="1">
      <c r="A38" s="334" t="s">
        <v>74</v>
      </c>
      <c r="B38" s="335" t="s">
        <v>75</v>
      </c>
      <c r="C38" s="335"/>
      <c r="D38" s="335"/>
      <c r="E38" s="335"/>
      <c r="F38" s="335"/>
      <c r="G38" s="335"/>
      <c r="H38" s="336" t="s">
        <v>69</v>
      </c>
      <c r="I38" s="336"/>
      <c r="J38" s="336"/>
    </row>
    <row r="39" ht="21.9975" customHeight="1">
      <c r="A39" s="334" t="s">
        <v>76</v>
      </c>
      <c r="B39" s="335" t="s">
        <v>77</v>
      </c>
      <c r="C39" s="335"/>
      <c r="D39" s="335"/>
      <c r="E39" s="335"/>
      <c r="F39" s="335"/>
      <c r="G39" s="335"/>
      <c r="H39" s="336" t="s">
        <v>69</v>
      </c>
      <c r="I39" s="336"/>
      <c r="J39" s="336"/>
    </row>
    <row r="40" ht="21.9975" customHeight="1">
      <c r="A40" s="334" t="s">
        <v>78</v>
      </c>
      <c r="B40" s="335" t="s">
        <v>79</v>
      </c>
      <c r="C40" s="335"/>
      <c r="D40" s="335"/>
      <c r="E40" s="335"/>
      <c r="F40" s="335"/>
      <c r="G40" s="335"/>
      <c r="H40" s="336" t="s">
        <v>69</v>
      </c>
      <c r="I40" s="336"/>
      <c r="J40" s="336"/>
    </row>
    <row r="41" ht="21.9975" customHeight="1">
      <c r="A41" s="334" t="s">
        <v>80</v>
      </c>
      <c r="B41" s="335" t="s">
        <v>81</v>
      </c>
      <c r="C41" s="335"/>
      <c r="D41" s="335"/>
      <c r="E41" s="335"/>
      <c r="F41" s="335"/>
      <c r="G41" s="335"/>
      <c r="H41" s="336" t="s">
        <v>69</v>
      </c>
      <c r="I41" s="336"/>
      <c r="J41" s="336"/>
    </row>
    <row r="42" ht="21.9975" customHeight="1">
      <c r="A42" s="334" t="s">
        <v>82</v>
      </c>
      <c r="B42" s="335" t="s">
        <v>83</v>
      </c>
      <c r="C42" s="335"/>
      <c r="D42" s="335"/>
      <c r="E42" s="335"/>
      <c r="F42" s="335"/>
      <c r="G42" s="335"/>
      <c r="H42" s="336" t="s">
        <v>69</v>
      </c>
      <c r="I42" s="336"/>
      <c r="J42" s="336"/>
    </row>
    <row r="43" ht="21.9975" customHeight="1">
      <c r="A43" s="334" t="s">
        <v>84</v>
      </c>
      <c r="B43" s="335" t="s">
        <v>85</v>
      </c>
      <c r="C43" s="335"/>
      <c r="D43" s="335"/>
      <c r="E43" s="335"/>
      <c r="F43" s="335"/>
      <c r="G43" s="335"/>
      <c r="H43" s="336" t="s">
        <v>69</v>
      </c>
      <c r="I43" s="336"/>
      <c r="J43" s="336"/>
    </row>
    <row r="44" ht="21.9975" customHeight="1">
      <c r="A44" s="334" t="s">
        <v>86</v>
      </c>
      <c r="B44" s="335" t="s">
        <v>87</v>
      </c>
      <c r="C44" s="335"/>
      <c r="D44" s="335"/>
      <c r="E44" s="335"/>
      <c r="F44" s="335"/>
      <c r="G44" s="335"/>
      <c r="H44" s="336" t="s">
        <v>69</v>
      </c>
      <c r="I44" s="336"/>
      <c r="J44" s="336"/>
    </row>
    <row r="45" ht="21.9975" customHeight="1">
      <c r="A45" s="334" t="s">
        <v>88</v>
      </c>
      <c r="B45" s="335" t="s">
        <v>89</v>
      </c>
      <c r="C45" s="335"/>
      <c r="D45" s="335"/>
      <c r="E45" s="335"/>
      <c r="F45" s="335"/>
      <c r="G45" s="335"/>
      <c r="H45" s="336" t="s">
        <v>69</v>
      </c>
      <c r="I45" s="336"/>
      <c r="J45" s="336"/>
    </row>
    <row r="46" ht="21.9975" customHeight="1">
      <c r="A46" s="334"/>
      <c r="B46" s="335"/>
      <c r="C46" s="335"/>
      <c r="D46" s="335"/>
      <c r="E46" s="335"/>
      <c r="F46" s="335"/>
      <c r="G46" s="335"/>
      <c r="H46" s="336"/>
      <c r="I46" s="336"/>
      <c r="J46" s="336"/>
    </row>
    <row r="48" ht="32" customHeight="1">
      <c r="A48" s="322" t="s">
        <v>90</v>
      </c>
      <c r="B48" s="322"/>
      <c r="C48" s="322"/>
      <c r="D48" s="322"/>
      <c r="E48" s="322"/>
      <c r="F48" s="322"/>
      <c r="G48" s="322"/>
      <c r="H48" s="322"/>
      <c r="I48" s="322"/>
      <c r="J48" s="322"/>
    </row>
    <row r="49" ht="25" customHeight="1">
      <c r="A49" s="333" t="s">
        <v>64</v>
      </c>
      <c r="B49" s="333" t="s">
        <v>91</v>
      </c>
      <c r="C49" s="333"/>
      <c r="D49" s="333" t="s">
        <v>92</v>
      </c>
      <c r="E49" s="333"/>
      <c r="F49" s="333"/>
      <c r="G49" s="333"/>
      <c r="H49" s="333"/>
      <c r="I49" s="333"/>
      <c r="J49" s="333"/>
    </row>
    <row r="50" ht="28" customHeight="1">
      <c r="A50" s="334" t="s">
        <v>67</v>
      </c>
      <c r="B50" s="337" t="s">
        <v>24</v>
      </c>
      <c r="C50" s="337"/>
      <c r="D50" s="338" t="s">
        <v>93</v>
      </c>
      <c r="E50" s="338"/>
      <c r="F50" s="338"/>
      <c r="G50" s="338"/>
      <c r="H50" s="338"/>
      <c r="I50" s="338"/>
      <c r="J50" s="338"/>
    </row>
    <row r="51" ht="28" customHeight="1">
      <c r="A51" s="334" t="s">
        <v>70</v>
      </c>
      <c r="B51" s="337" t="s">
        <v>55</v>
      </c>
      <c r="C51" s="337"/>
      <c r="D51" s="338" t="s">
        <v>94</v>
      </c>
      <c r="E51" s="338"/>
      <c r="F51" s="338"/>
      <c r="G51" s="338"/>
      <c r="H51" s="338"/>
      <c r="I51" s="338"/>
      <c r="J51" s="338"/>
    </row>
    <row r="52" ht="28" customHeight="1">
      <c r="A52" s="334" t="s">
        <v>72</v>
      </c>
      <c r="B52" s="337" t="s">
        <v>95</v>
      </c>
      <c r="C52" s="337"/>
      <c r="D52" s="338" t="s">
        <v>96</v>
      </c>
      <c r="E52" s="338"/>
      <c r="F52" s="338"/>
      <c r="G52" s="338"/>
      <c r="H52" s="338"/>
      <c r="I52" s="338"/>
      <c r="J52" s="338"/>
    </row>
    <row r="53" ht="28" customHeight="1">
      <c r="A53" s="334" t="s">
        <v>74</v>
      </c>
      <c r="B53" s="337" t="s">
        <v>97</v>
      </c>
      <c r="C53" s="337"/>
      <c r="D53" s="338" t="s">
        <v>98</v>
      </c>
      <c r="E53" s="338"/>
      <c r="F53" s="338"/>
      <c r="G53" s="338"/>
      <c r="H53" s="338"/>
      <c r="I53" s="338"/>
      <c r="J53" s="338"/>
    </row>
    <row r="54" ht="28" customHeight="1">
      <c r="A54" s="334" t="s">
        <v>76</v>
      </c>
      <c r="B54" s="337" t="s">
        <v>99</v>
      </c>
      <c r="C54" s="337"/>
      <c r="D54" s="338" t="s">
        <v>100</v>
      </c>
      <c r="E54" s="338"/>
      <c r="F54" s="338"/>
      <c r="G54" s="338"/>
      <c r="H54" s="338"/>
      <c r="I54" s="338"/>
      <c r="J54" s="338"/>
    </row>
    <row r="55" ht="28" customHeight="1">
      <c r="A55" s="334" t="s">
        <v>78</v>
      </c>
      <c r="B55" s="337" t="s">
        <v>101</v>
      </c>
      <c r="C55" s="337"/>
      <c r="D55" s="338" t="s">
        <v>102</v>
      </c>
      <c r="E55" s="338"/>
      <c r="F55" s="338"/>
      <c r="G55" s="338"/>
      <c r="H55" s="338"/>
      <c r="I55" s="338"/>
      <c r="J55" s="338"/>
    </row>
    <row r="56" ht="28" customHeight="1">
      <c r="A56" s="334" t="s">
        <v>80</v>
      </c>
      <c r="B56" s="337" t="s">
        <v>103</v>
      </c>
      <c r="C56" s="337"/>
      <c r="D56" s="338" t="s">
        <v>104</v>
      </c>
      <c r="E56" s="338"/>
      <c r="F56" s="338"/>
      <c r="G56" s="338"/>
      <c r="H56" s="338"/>
      <c r="I56" s="338"/>
      <c r="J56" s="338"/>
    </row>
    <row r="57" ht="28" customHeight="1">
      <c r="A57" s="334" t="s">
        <v>82</v>
      </c>
      <c r="B57" s="337" t="s">
        <v>105</v>
      </c>
      <c r="C57" s="337"/>
      <c r="D57" s="338" t="s">
        <v>106</v>
      </c>
      <c r="E57" s="338"/>
      <c r="F57" s="338"/>
      <c r="G57" s="338"/>
      <c r="H57" s="338"/>
      <c r="I57" s="338"/>
      <c r="J57" s="338"/>
    </row>
    <row r="58" ht="28" customHeight="1">
      <c r="A58" s="334" t="s">
        <v>84</v>
      </c>
      <c r="B58" s="337" t="s">
        <v>107</v>
      </c>
      <c r="C58" s="337"/>
      <c r="D58" s="338" t="s">
        <v>108</v>
      </c>
      <c r="E58" s="338"/>
      <c r="F58" s="338"/>
      <c r="G58" s="338"/>
      <c r="H58" s="338"/>
      <c r="I58" s="338"/>
      <c r="J58" s="338"/>
    </row>
  </sheetData>
  <mergeCells count="67">
    <mergeCell ref="B38:G38"/>
    <mergeCell ref="C8:J8"/>
    <mergeCell ref="A5:J5"/>
    <mergeCell ref="A9:B9"/>
    <mergeCell ref="B51:C51"/>
    <mergeCell ref="D51:J51"/>
    <mergeCell ref="B53:C53"/>
    <mergeCell ref="H45:J45"/>
    <mergeCell ref="H39:J39"/>
    <mergeCell ref="A12:J12"/>
    <mergeCell ref="B43:G43"/>
    <mergeCell ref="H44:J44"/>
    <mergeCell ref="A28:J28"/>
    <mergeCell ref="D54:J54"/>
    <mergeCell ref="B50:C50"/>
    <mergeCell ref="H35:J35"/>
    <mergeCell ref="A33:J33"/>
    <mergeCell ref="D53:J53"/>
    <mergeCell ref="A7:J7"/>
    <mergeCell ref="B35:G35"/>
    <mergeCell ref="B44:G44"/>
    <mergeCell ref="B42:G42"/>
    <mergeCell ref="B54:C54"/>
    <mergeCell ref="B46:G46"/>
    <mergeCell ref="B34:G34"/>
    <mergeCell ref="A4:J4"/>
    <mergeCell ref="B41:G41"/>
    <mergeCell ref="A23:J23"/>
    <mergeCell ref="B39:G39"/>
    <mergeCell ref="H42:J42"/>
    <mergeCell ref="C9:J9"/>
    <mergeCell ref="H34:J34"/>
    <mergeCell ref="D55:J55"/>
    <mergeCell ref="B55:C55"/>
    <mergeCell ref="A48:J48"/>
    <mergeCell ref="A14:J14"/>
    <mergeCell ref="D49:J49"/>
    <mergeCell ref="D58:J58"/>
    <mergeCell ref="B52:C52"/>
    <mergeCell ref="D50:J50"/>
    <mergeCell ref="B49:C49"/>
    <mergeCell ref="H38:J38"/>
    <mergeCell ref="A18:J18"/>
    <mergeCell ref="H46:J46"/>
    <mergeCell ref="A1:J1"/>
    <mergeCell ref="A24:J24"/>
    <mergeCell ref="B56:C56"/>
    <mergeCell ref="A10:B10"/>
    <mergeCell ref="D52:J52"/>
    <mergeCell ref="H41:J41"/>
    <mergeCell ref="B57:C57"/>
    <mergeCell ref="D57:J57"/>
    <mergeCell ref="B40:G40"/>
    <mergeCell ref="D56:J56"/>
    <mergeCell ref="H40:J40"/>
    <mergeCell ref="C10:J10"/>
    <mergeCell ref="A2:J2"/>
    <mergeCell ref="B58:C58"/>
    <mergeCell ref="A8:B8"/>
    <mergeCell ref="B36:G36"/>
    <mergeCell ref="A19:J19"/>
    <mergeCell ref="B45:G45"/>
    <mergeCell ref="B37:G37"/>
    <mergeCell ref="H37:J37"/>
    <mergeCell ref="H36:J36"/>
    <mergeCell ref="A29:J29"/>
    <mergeCell ref="H43:J43"/>
  </mergeCells>
  <phoneticPr fontId="1" type="noConversion"/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D99694"/>
    <outlinePr summaryBelow="0" summaryRight="0"/>
    <pageSetUpPr fitToPage="1"/>
  </sheetPr>
  <dimension ref="A1"/>
  <sheetViews>
    <sheetView workbookViewId="0">
      <pane topLeftCell="A2" activePane="bottomRight" state="frozen" ySplit="1"/>
    </sheetView>
  </sheetViews>
  <sheetFormatPr baseColWidth="10" defaultColWidth="9" defaultRowHeight="20.0025" customHeight="1"/>
  <cols>
    <col min="1" max="1" width="4.998046875" customWidth="1" style="245"/>
    <col min="2" max="2" width="13.998046875" customWidth="1" style="245"/>
    <col min="3" max="3" width="15.9990234375" customWidth="1" style="245"/>
    <col min="4" max="4" width="13.998046875" customWidth="1" style="245"/>
    <col min="5" max="5" width="19.998046875" customWidth="1" style="245"/>
    <col min="6" max="6" width="17.666015625" customWidth="1" style="245"/>
    <col min="7" max="7" width="12.83203125" customWidth="1" style="245"/>
    <col min="8" max="8" width="20.666015625" customWidth="1" style="245"/>
    <col min="9" max="9" width="14.4990234375" customWidth="1" style="245"/>
    <col min="10" max="10" width="15.1640625" customWidth="1" style="245"/>
    <col min="11" max="11" width="19.998046875" customWidth="1" style="245"/>
  </cols>
  <sheetData>
    <row r="1" ht="45" customHeight="1">
      <c r="A1" s="246" t="s">
        <v>109</v>
      </c>
      <c r="B1" s="247"/>
      <c r="C1" s="247"/>
      <c r="D1" s="247"/>
      <c r="E1" s="247"/>
      <c r="F1" s="247"/>
      <c r="G1" s="247"/>
      <c r="H1" s="247"/>
      <c r="I1" s="247"/>
      <c r="J1" s="247"/>
      <c r="K1" s="286"/>
    </row>
    <row r="2" ht="20.0025" customHeight="1">
      <c r="A2" s="248"/>
      <c r="K2" s="287"/>
    </row>
    <row r="3" ht="28" customHeight="1">
      <c r="A3" s="249" t="s">
        <v>110</v>
      </c>
      <c r="B3" s="250"/>
      <c r="C3" s="250"/>
      <c r="D3" s="250"/>
      <c r="E3" s="250"/>
      <c r="F3" s="250"/>
      <c r="G3" s="250"/>
      <c r="H3" s="250"/>
      <c r="I3" s="250"/>
      <c r="J3" s="250"/>
      <c r="K3" s="288"/>
    </row>
    <row r="4" ht="25" customHeight="1">
      <c r="A4" s="251" t="s">
        <v>111</v>
      </c>
      <c r="B4" s="252"/>
      <c r="C4" s="252"/>
      <c r="D4" s="253" t="s">
        <v>13</v>
      </c>
      <c r="E4" s="253"/>
      <c r="F4" s="253"/>
      <c r="G4" s="252" t="s">
        <v>112</v>
      </c>
      <c r="H4" s="252"/>
      <c r="I4" s="253" t="s">
        <v>13</v>
      </c>
      <c r="J4" s="253"/>
      <c r="K4" s="289"/>
    </row>
    <row r="5" ht="25" customHeight="1">
      <c r="A5" s="251" t="s">
        <v>113</v>
      </c>
      <c r="B5" s="252"/>
      <c r="C5" s="252"/>
      <c r="D5" s="253" t="s">
        <v>13</v>
      </c>
      <c r="E5" s="253"/>
      <c r="F5" s="253"/>
      <c r="G5" s="252" t="s">
        <v>114</v>
      </c>
      <c r="H5" s="252"/>
      <c r="I5" s="253" t="s">
        <v>13</v>
      </c>
      <c r="J5" s="253"/>
      <c r="K5" s="289"/>
    </row>
    <row r="6" ht="25" customHeight="1">
      <c r="A6" s="251" t="s">
        <v>115</v>
      </c>
      <c r="B6" s="252"/>
      <c r="C6" s="252"/>
      <c r="D6" s="253" t="s">
        <v>116</v>
      </c>
      <c r="E6" s="253"/>
      <c r="F6" s="253"/>
      <c r="G6" s="252" t="s">
        <v>117</v>
      </c>
      <c r="H6" s="252"/>
      <c r="I6" s="253" t="s">
        <v>118</v>
      </c>
      <c r="J6" s="253"/>
      <c r="K6" s="253"/>
    </row>
    <row r="7" ht="25" customHeight="1">
      <c r="A7" s="251" t="s">
        <v>119</v>
      </c>
      <c r="B7" s="252"/>
      <c r="C7" s="252"/>
      <c r="D7" s="253" t="s">
        <v>13</v>
      </c>
      <c r="E7" s="253"/>
      <c r="F7" s="253"/>
      <c r="G7" s="252" t="s">
        <v>120</v>
      </c>
      <c r="H7" s="252"/>
      <c r="I7" s="253" t="s">
        <v>13</v>
      </c>
      <c r="J7" s="253"/>
      <c r="K7" s="289"/>
    </row>
    <row r="8" ht="25" customHeight="1">
      <c r="A8" s="251" t="s">
        <v>24</v>
      </c>
      <c r="B8" s="252"/>
      <c r="C8" s="252"/>
      <c r="D8" s="253" t="s">
        <v>13</v>
      </c>
      <c r="E8" s="253"/>
      <c r="F8" s="253"/>
      <c r="G8" s="252" t="s">
        <v>55</v>
      </c>
      <c r="H8" s="252"/>
      <c r="I8" s="253" t="s">
        <v>13</v>
      </c>
      <c r="J8" s="253"/>
      <c r="K8" s="289"/>
    </row>
    <row r="9" ht="40" customHeight="1">
      <c r="A9" s="251" t="s">
        <v>121</v>
      </c>
      <c r="B9" s="252"/>
      <c r="C9" s="252"/>
      <c r="D9" s="264" t="s">
        <v>13</v>
      </c>
      <c r="E9" s="265"/>
      <c r="F9" s="265"/>
      <c r="G9" s="265"/>
      <c r="H9" s="265"/>
      <c r="I9" s="265"/>
      <c r="J9" s="265"/>
      <c r="K9" s="316"/>
    </row>
    <row r="10" ht="25" customHeight="1">
      <c r="A10" s="251" t="s">
        <v>122</v>
      </c>
      <c r="B10" s="252"/>
      <c r="C10" s="252"/>
      <c r="D10" s="253" t="s">
        <v>123</v>
      </c>
      <c r="E10" s="253"/>
      <c r="F10" s="253"/>
      <c r="G10" s="252" t="s">
        <v>124</v>
      </c>
      <c r="H10" s="252"/>
      <c r="I10" s="253" t="s">
        <v>123</v>
      </c>
      <c r="J10" s="253"/>
      <c r="K10" s="289"/>
    </row>
    <row r="11" ht="25" customHeight="1">
      <c r="A11" s="251" t="s">
        <v>125</v>
      </c>
      <c r="B11" s="252"/>
      <c r="C11" s="252"/>
      <c r="D11" s="253" t="s">
        <v>13</v>
      </c>
      <c r="E11" s="253"/>
      <c r="F11" s="253"/>
      <c r="G11" s="252" t="s">
        <v>126</v>
      </c>
      <c r="H11" s="252"/>
      <c r="I11" s="253" t="s">
        <v>13</v>
      </c>
      <c r="J11" s="253"/>
      <c r="K11" s="289"/>
    </row>
    <row r="12" ht="20.0025" customHeight="1">
      <c r="A12" s="248"/>
      <c r="K12" s="287"/>
    </row>
    <row r="13" ht="28" customHeight="1">
      <c r="A13" s="249" t="s">
        <v>127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88"/>
    </row>
    <row r="14" ht="45" customHeight="1">
      <c r="A14" s="275" t="s">
        <v>64</v>
      </c>
      <c r="B14" s="444" t="s">
        <v>128</v>
      </c>
      <c r="C14" s="276" t="s">
        <v>129</v>
      </c>
      <c r="D14" s="276" t="s">
        <v>130</v>
      </c>
      <c r="E14" s="445" t="s">
        <v>131</v>
      </c>
      <c r="F14" s="446" t="s">
        <v>132</v>
      </c>
      <c r="G14" s="276"/>
      <c r="H14" s="447" t="s">
        <v>133</v>
      </c>
      <c r="I14" s="448" t="s">
        <v>134</v>
      </c>
      <c r="J14" s="276" t="s">
        <v>135</v>
      </c>
      <c r="K14" s="449" t="s">
        <v>136</v>
      </c>
    </row>
    <row r="15" ht="20.0025" customHeight="1">
      <c r="A15" s="277" t="s">
        <v>13</v>
      </c>
      <c r="B15" s="278" t="s">
        <v>13</v>
      </c>
      <c r="C15" s="278" t="s">
        <v>13</v>
      </c>
      <c r="D15" s="278" t="s">
        <v>13</v>
      </c>
      <c r="E15" s="278" t="s">
        <v>13</v>
      </c>
      <c r="F15" s="278" t="s">
        <v>13</v>
      </c>
      <c r="G15" s="278"/>
      <c r="H15" s="278" t="s">
        <v>13</v>
      </c>
      <c r="I15" s="278" t="s">
        <v>137</v>
      </c>
      <c r="J15" s="278" t="s">
        <v>137</v>
      </c>
      <c r="K15" s="296" t="s">
        <v>137</v>
      </c>
    </row>
    <row r="16" ht="35" customHeight="1">
      <c r="A16" s="279" t="n">
        <v>1</v>
      </c>
      <c r="B16" s="280" t="s">
        <v>138</v>
      </c>
      <c r="C16" s="281" t="s">
        <v>139</v>
      </c>
      <c r="D16" s="282" t="s">
        <v>13</v>
      </c>
      <c r="E16" s="283" t="s">
        <v>140</v>
      </c>
      <c r="F16" s="284" t="s">
        <v>141</v>
      </c>
      <c r="G16" s="284"/>
      <c r="H16" s="285" t="s">
        <v>142</v>
      </c>
      <c r="I16" s="297" t="s">
        <v>13</v>
      </c>
      <c r="J16" s="298" t="s">
        <v>13</v>
      </c>
      <c r="K16" s="299" t="s">
        <v>95</v>
      </c>
    </row>
    <row r="17" ht="35" customHeight="1">
      <c r="A17" s="279" t="n">
        <v>2</v>
      </c>
      <c r="B17" s="280" t="s">
        <v>138</v>
      </c>
      <c r="C17" s="281" t="s">
        <v>143</v>
      </c>
      <c r="D17" s="282" t="s">
        <v>144</v>
      </c>
      <c r="E17" s="283" t="s">
        <v>145</v>
      </c>
      <c r="F17" s="284" t="s">
        <v>146</v>
      </c>
      <c r="G17" s="284"/>
      <c r="H17" s="285" t="s">
        <v>13</v>
      </c>
      <c r="I17" s="297" t="s">
        <v>13</v>
      </c>
      <c r="J17" s="298" t="s">
        <v>13</v>
      </c>
      <c r="K17" s="299" t="s">
        <v>95</v>
      </c>
    </row>
    <row r="18" ht="35" customHeight="1">
      <c r="A18" s="279" t="n">
        <v>3</v>
      </c>
      <c r="B18" s="280" t="s">
        <v>147</v>
      </c>
      <c r="C18" s="281" t="s">
        <v>148</v>
      </c>
      <c r="D18" s="282" t="s">
        <v>149</v>
      </c>
      <c r="E18" s="283" t="s">
        <v>150</v>
      </c>
      <c r="F18" s="284" t="s">
        <v>151</v>
      </c>
      <c r="G18" s="284"/>
      <c r="H18" s="285" t="s">
        <v>13</v>
      </c>
      <c r="I18" s="297" t="s">
        <v>13</v>
      </c>
      <c r="J18" s="298" t="s">
        <v>13</v>
      </c>
      <c r="K18" s="299" t="s">
        <v>103</v>
      </c>
    </row>
    <row r="19" s="245" customFormat="1" ht="35" customHeight="1">
      <c r="A19" s="279" t="n">
        <v>4</v>
      </c>
      <c r="B19" s="280" t="s">
        <v>152</v>
      </c>
      <c r="C19" s="281" t="s">
        <v>153</v>
      </c>
      <c r="D19" s="282" t="s">
        <v>13</v>
      </c>
      <c r="E19" s="283" t="s">
        <v>13</v>
      </c>
      <c r="F19" s="284" t="s">
        <v>154</v>
      </c>
      <c r="G19" s="284"/>
      <c r="H19" s="285" t="s">
        <v>13</v>
      </c>
      <c r="I19" s="297" t="s">
        <v>13</v>
      </c>
      <c r="J19" s="298" t="s">
        <v>13</v>
      </c>
      <c r="K19" s="299" t="s">
        <v>99</v>
      </c>
    </row>
    <row r="20" s="245" customFormat="1" ht="35" customHeight="1">
      <c r="A20" s="310" t="n">
        <v>5</v>
      </c>
      <c r="B20" s="311" t="s">
        <v>155</v>
      </c>
      <c r="C20" s="312" t="s">
        <v>156</v>
      </c>
      <c r="D20" s="313" t="s">
        <v>157</v>
      </c>
      <c r="E20" s="314" t="s">
        <v>158</v>
      </c>
      <c r="F20" s="315" t="s">
        <v>159</v>
      </c>
      <c r="G20" s="315"/>
      <c r="H20" s="450" t="s">
        <v>160</v>
      </c>
      <c r="I20" s="317" t="s">
        <v>13</v>
      </c>
      <c r="J20" s="318" t="s">
        <v>13</v>
      </c>
      <c r="K20" s="319" t="s">
        <v>97</v>
      </c>
    </row>
  </sheetData>
  <mergeCells count="40">
    <mergeCell ref="F20:G20"/>
    <mergeCell ref="I7:K7"/>
    <mergeCell ref="I10:K10"/>
    <mergeCell ref="D7:F7"/>
    <mergeCell ref="F14:G14"/>
    <mergeCell ref="A13:K13"/>
    <mergeCell ref="A6:C6"/>
    <mergeCell ref="G10:H10"/>
    <mergeCell ref="D5:F5"/>
    <mergeCell ref="F18:G18"/>
    <mergeCell ref="F15:G15"/>
    <mergeCell ref="A5:C5"/>
    <mergeCell ref="A1:K1"/>
    <mergeCell ref="F16:G16"/>
    <mergeCell ref="F17:G17"/>
    <mergeCell ref="G6:H6"/>
    <mergeCell ref="D4:F4"/>
    <mergeCell ref="A9:C9"/>
    <mergeCell ref="A7:C7"/>
    <mergeCell ref="G8:H8"/>
    <mergeCell ref="D8:F8"/>
    <mergeCell ref="I11:K11"/>
    <mergeCell ref="I5:K5"/>
    <mergeCell ref="G4:H4"/>
    <mergeCell ref="A4:C4"/>
    <mergeCell ref="D10:F10"/>
    <mergeCell ref="D9:K9"/>
    <mergeCell ref="D6:F6"/>
    <mergeCell ref="I8:K8"/>
    <mergeCell ref="D11:F11"/>
    <mergeCell ref="A8:C8"/>
    <mergeCell ref="G11:H11"/>
    <mergeCell ref="I4:K4"/>
    <mergeCell ref="G7:H7"/>
    <mergeCell ref="A11:C11"/>
    <mergeCell ref="F19:G19"/>
    <mergeCell ref="G5:H5"/>
    <mergeCell ref="A10:C10"/>
    <mergeCell ref="A3:K3"/>
    <mergeCell ref="I6:K6"/>
  </mergeCells>
  <phoneticPr fontId="1" type="noConversion"/>
  <dataValidations count="3">
    <dataValidation type="list" allowBlank="1" sqref="I16 I19 I20 I17:I18">
      <formula1>"绿灯,黄灯,红灯"</formula1>
    </dataValidation>
    <dataValidation type="list" allowBlank="1" showInputMessage="1" showErrorMessage="1" sqref="I6:K6">
      <formula1>"请选择,华南营销处,华北营销处-区域,华北营销处-渠道"</formula1>
    </dataValidation>
    <dataValidation type="list" allowBlank="1" showInputMessage="1" showErrorMessage="1" sqref="D6:F6">
      <formula1>"G1 / B2 / G2（请选择）,G1,G2,B2"</formula1>
    </dataValidation>
  </dataValidation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D99694"/>
    <outlinePr summaryBelow="0" summaryRight="0"/>
    <pageSetUpPr fitToPage="1"/>
  </sheetPr>
  <dimension ref="A1"/>
  <sheetViews>
    <sheetView workbookViewId="0" tabSelected="1">
      <pane topLeftCell="A2" activePane="bottomRight" state="frozen" ySplit="1"/>
    </sheetView>
  </sheetViews>
  <sheetFormatPr baseColWidth="10" defaultColWidth="9" defaultRowHeight="20.0025" customHeight="1"/>
  <cols>
    <col min="1" max="1" width="4.998046875" customWidth="1" style="245"/>
    <col min="2" max="2" width="13.998046875" customWidth="1" style="245"/>
    <col min="3" max="3" width="15.9990234375" customWidth="1" style="245"/>
    <col min="4" max="4" width="13.998046875" customWidth="1" style="245"/>
    <col min="5" max="5" width="19.998046875" customWidth="1" style="245"/>
    <col min="6" max="6" width="27.9990234375" customWidth="1" style="245"/>
    <col min="7" max="7" width="9.1640625" customWidth="1" style="245"/>
    <col min="8" max="8" width="27.9990234375" customWidth="1" style="245"/>
    <col min="9" max="9" width="19.998046875" customWidth="1" style="245"/>
    <col min="10" max="10" width="32.4990234375" customWidth="1" style="245"/>
    <col min="11" max="11" width="19.998046875" customWidth="1" style="245"/>
  </cols>
  <sheetData>
    <row r="1" ht="45" customHeight="1">
      <c r="A1" s="409" t="s">
        <v>161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</row>
    <row r="3" ht="28" customHeight="1">
      <c r="A3" s="417" t="s">
        <v>110</v>
      </c>
      <c r="B3" s="411"/>
      <c r="C3" s="411"/>
      <c r="D3" s="411"/>
      <c r="E3" s="411"/>
      <c r="F3" s="411"/>
      <c r="G3" s="411"/>
      <c r="H3" s="411"/>
      <c r="I3" s="411"/>
      <c r="J3" s="411"/>
      <c r="K3" s="418"/>
    </row>
    <row r="4" ht="25" customHeight="1">
      <c r="A4" s="251" t="s">
        <v>111</v>
      </c>
      <c r="B4" s="252"/>
      <c r="C4" s="252"/>
      <c r="D4" s="253" t="s">
        <v>162</v>
      </c>
      <c r="E4" s="253"/>
      <c r="F4" s="253"/>
      <c r="G4" s="252" t="s">
        <v>112</v>
      </c>
      <c r="H4" s="252"/>
      <c r="I4" s="253" t="s">
        <v>163</v>
      </c>
      <c r="J4" s="253"/>
      <c r="K4" s="289"/>
    </row>
    <row r="5" ht="25" customHeight="1">
      <c r="A5" s="251" t="s">
        <v>114</v>
      </c>
      <c r="B5" s="252"/>
      <c r="C5" s="252"/>
      <c r="D5" s="253" t="s">
        <v>164</v>
      </c>
      <c r="E5" s="253"/>
      <c r="F5" s="253"/>
      <c r="G5" s="252" t="s">
        <v>117</v>
      </c>
      <c r="H5" s="252"/>
      <c r="I5" s="253" t="s">
        <v>165</v>
      </c>
      <c r="J5" s="253"/>
      <c r="K5" s="289"/>
    </row>
    <row r="6" ht="25" customHeight="1">
      <c r="A6" s="251" t="s">
        <v>115</v>
      </c>
      <c r="B6" s="252"/>
      <c r="C6" s="252"/>
      <c r="D6" s="253" t="s">
        <v>166</v>
      </c>
      <c r="E6" s="253"/>
      <c r="F6" s="253"/>
      <c r="G6" s="252" t="s">
        <v>113</v>
      </c>
      <c r="H6" s="252"/>
      <c r="I6" s="253" t="s">
        <v>167</v>
      </c>
      <c r="J6" s="253"/>
      <c r="K6" s="289"/>
    </row>
    <row r="7" ht="25" customHeight="1">
      <c r="A7" s="251" t="s">
        <v>24</v>
      </c>
      <c r="B7" s="252"/>
      <c r="C7" s="252"/>
      <c r="D7" s="253" t="s">
        <v>168</v>
      </c>
      <c r="E7" s="253"/>
      <c r="F7" s="253"/>
      <c r="G7" s="252" t="s">
        <v>55</v>
      </c>
      <c r="H7" s="252"/>
      <c r="I7" s="253" t="s">
        <v>169</v>
      </c>
      <c r="J7" s="253"/>
      <c r="K7" s="289"/>
    </row>
    <row r="8" ht="25" customHeight="1">
      <c r="A8" s="251" t="s">
        <v>119</v>
      </c>
      <c r="B8" s="252"/>
      <c r="C8" s="252"/>
      <c r="D8" s="253" t="n">
        <f>'附1-预算表'!B6/10000</f>
        <v>24</v>
      </c>
      <c r="E8" s="253"/>
      <c r="F8" s="253"/>
      <c r="G8" s="252" t="s">
        <v>120</v>
      </c>
      <c r="H8" s="252"/>
      <c r="I8" s="309" t="n">
        <v>46325</v>
      </c>
      <c r="J8" s="309"/>
      <c r="K8" s="419"/>
    </row>
    <row r="9" ht="25" customHeight="1">
      <c r="A9" s="251" t="s">
        <v>170</v>
      </c>
      <c r="B9" s="252"/>
      <c r="C9" s="252"/>
      <c r="D9" s="301" t="n">
        <f>'附1-预算表'!H8</f>
        <v>0.0552472740000022</v>
      </c>
      <c r="E9" s="301"/>
      <c r="F9" s="301"/>
      <c r="G9" s="252" t="s">
        <v>171</v>
      </c>
      <c r="H9" s="252"/>
      <c r="I9" s="253" t="n">
        <v>0</v>
      </c>
      <c r="J9" s="253"/>
      <c r="K9" s="289"/>
    </row>
    <row r="10" s="245" customFormat="1" ht="25" customHeight="1">
      <c r="A10" s="251" t="s">
        <v>172</v>
      </c>
      <c r="B10" s="252"/>
      <c r="C10" s="252"/>
      <c r="D10" s="253" t="s">
        <v>173</v>
      </c>
      <c r="E10" s="253"/>
      <c r="F10" s="253"/>
      <c r="G10" s="252" t="s">
        <v>174</v>
      </c>
      <c r="H10" s="252"/>
      <c r="I10" s="253" t="s">
        <v>175</v>
      </c>
      <c r="J10" s="253"/>
      <c r="K10" s="289"/>
    </row>
    <row r="11" ht="57" customHeight="1">
      <c r="A11" s="251" t="s">
        <v>121</v>
      </c>
      <c r="B11" s="252"/>
      <c r="C11" s="252"/>
      <c r="D11" s="302" t="s">
        <v>176</v>
      </c>
      <c r="E11" s="303"/>
      <c r="F11" s="303"/>
      <c r="G11" s="303"/>
      <c r="H11" s="303"/>
      <c r="I11" s="303"/>
      <c r="J11" s="303"/>
      <c r="K11" s="420"/>
    </row>
    <row r="12" ht="25" customHeight="1">
      <c r="A12" s="251" t="s">
        <v>177</v>
      </c>
      <c r="B12" s="252"/>
      <c r="C12" s="252"/>
      <c r="D12" s="304" t="s">
        <v>178</v>
      </c>
      <c r="E12" s="305"/>
      <c r="F12" s="305"/>
      <c r="G12" s="305"/>
      <c r="H12" s="305"/>
      <c r="I12" s="305"/>
      <c r="J12" s="305"/>
      <c r="K12" s="421"/>
    </row>
    <row r="13" ht="25" customHeight="1">
      <c r="A13" s="251" t="s">
        <v>122</v>
      </c>
      <c r="B13" s="252"/>
      <c r="C13" s="252"/>
      <c r="D13" s="306" t="s">
        <v>175</v>
      </c>
      <c r="E13" s="306"/>
      <c r="F13" s="306"/>
      <c r="G13" s="307" t="s">
        <v>179</v>
      </c>
      <c r="H13" s="307"/>
      <c r="I13" s="306" t="s">
        <v>175</v>
      </c>
      <c r="J13" s="306"/>
      <c r="K13" s="289"/>
    </row>
    <row r="14" ht="25" customHeight="1">
      <c r="A14" s="251" t="s">
        <v>180</v>
      </c>
      <c r="B14" s="252"/>
      <c r="C14" s="252"/>
      <c r="D14" s="306" t="s">
        <v>175</v>
      </c>
      <c r="E14" s="306"/>
      <c r="F14" s="306"/>
      <c r="G14" s="252"/>
      <c r="H14" s="252"/>
      <c r="I14" s="306"/>
      <c r="J14" s="306"/>
      <c r="K14" s="289"/>
    </row>
    <row r="15" ht="25" customHeight="1">
      <c r="A15" s="251" t="s">
        <v>181</v>
      </c>
      <c r="B15" s="252"/>
      <c r="C15" s="252"/>
      <c r="D15" s="306" t="n">
        <v>0</v>
      </c>
      <c r="E15" s="306"/>
      <c r="F15" s="306"/>
      <c r="G15" s="307" t="s">
        <v>182</v>
      </c>
      <c r="H15" s="307"/>
      <c r="I15" s="306" t="n">
        <v>0</v>
      </c>
      <c r="J15" s="306"/>
      <c r="K15" s="289"/>
    </row>
    <row r="16" s="245" customFormat="1" ht="25" customHeight="1">
      <c r="A16" s="251" t="s">
        <v>183</v>
      </c>
      <c r="B16" s="252"/>
      <c r="C16" s="252"/>
      <c r="D16" s="306" t="n">
        <v>0</v>
      </c>
      <c r="E16" s="306"/>
      <c r="F16" s="306"/>
      <c r="G16" s="307" t="s">
        <v>184</v>
      </c>
      <c r="H16" s="307"/>
      <c r="I16" s="306" t="s">
        <v>175</v>
      </c>
      <c r="J16" s="306"/>
      <c r="K16" s="289"/>
    </row>
    <row r="17" s="245" customFormat="1" ht="25" customHeight="1">
      <c r="A17" s="251" t="s">
        <v>185</v>
      </c>
      <c r="B17" s="252"/>
      <c r="C17" s="252"/>
      <c r="D17" s="306" t="s">
        <v>186</v>
      </c>
      <c r="E17" s="306"/>
      <c r="F17" s="306"/>
      <c r="G17" s="307" t="s">
        <v>187</v>
      </c>
      <c r="H17" s="307"/>
      <c r="I17" s="306" t="n">
        <v>0</v>
      </c>
      <c r="J17" s="306"/>
      <c r="K17" s="289"/>
    </row>
    <row r="18" s="245" customFormat="1" ht="25" customHeight="1">
      <c r="A18" s="251" t="s">
        <v>188</v>
      </c>
      <c r="B18" s="252"/>
      <c r="C18" s="252"/>
      <c r="D18" s="306" t="s">
        <v>189</v>
      </c>
      <c r="E18" s="306"/>
      <c r="F18" s="306"/>
      <c r="G18" s="307" t="s">
        <v>190</v>
      </c>
      <c r="H18" s="307"/>
      <c r="I18" s="306" t="s">
        <v>191</v>
      </c>
      <c r="J18" s="306"/>
      <c r="K18" s="289"/>
    </row>
    <row r="19" ht="25" customHeight="1">
      <c r="A19" s="251" t="s">
        <v>192</v>
      </c>
      <c r="B19" s="252"/>
      <c r="C19" s="252"/>
      <c r="D19" s="308" t="s">
        <v>193</v>
      </c>
      <c r="E19" s="303"/>
      <c r="F19" s="303"/>
      <c r="G19" s="303"/>
      <c r="H19" s="303"/>
      <c r="I19" s="303"/>
      <c r="J19" s="303"/>
      <c r="K19" s="420"/>
    </row>
    <row r="20" s="245" customFormat="1" ht="25" customHeight="1">
      <c r="A20" s="251" t="s">
        <v>194</v>
      </c>
      <c r="B20" s="252"/>
      <c r="C20" s="252"/>
      <c r="D20" s="306" t="s">
        <v>195</v>
      </c>
      <c r="E20" s="306"/>
      <c r="F20" s="306"/>
      <c r="G20" s="307" t="s">
        <v>196</v>
      </c>
      <c r="H20" s="307"/>
      <c r="I20" s="306" t="s">
        <v>197</v>
      </c>
      <c r="J20" s="306"/>
      <c r="K20" s="289"/>
    </row>
    <row r="21" ht="25" customHeight="1">
      <c r="A21" s="251" t="s">
        <v>198</v>
      </c>
      <c r="B21" s="252"/>
      <c r="C21" s="252"/>
      <c r="D21" s="306" t="s">
        <v>175</v>
      </c>
      <c r="E21" s="306"/>
      <c r="F21" s="306"/>
      <c r="G21" s="307" t="s">
        <v>199</v>
      </c>
      <c r="H21" s="307"/>
      <c r="I21" s="306" t="s">
        <v>175</v>
      </c>
      <c r="J21" s="306"/>
      <c r="K21" s="289"/>
    </row>
    <row r="22" s="245" customFormat="1" ht="25" customHeight="1">
      <c r="A22" s="251" t="s">
        <v>200</v>
      </c>
      <c r="B22" s="252"/>
      <c r="C22" s="252"/>
      <c r="D22" s="253" t="s">
        <v>175</v>
      </c>
      <c r="E22" s="253"/>
      <c r="F22" s="253"/>
      <c r="G22" s="252" t="s">
        <v>201</v>
      </c>
      <c r="H22" s="252"/>
      <c r="I22" s="253" t="s">
        <v>202</v>
      </c>
      <c r="J22" s="253"/>
      <c r="K22" s="289"/>
    </row>
    <row r="23" ht="25" customHeight="1">
      <c r="A23" s="251" t="s">
        <v>203</v>
      </c>
      <c r="B23" s="252"/>
      <c r="C23" s="252"/>
      <c r="D23" s="253" t="s">
        <v>175</v>
      </c>
      <c r="E23" s="253"/>
      <c r="F23" s="253"/>
      <c r="G23" s="252" t="s">
        <v>204</v>
      </c>
      <c r="H23" s="252"/>
      <c r="I23" s="253" t="s">
        <v>175</v>
      </c>
      <c r="J23" s="253"/>
      <c r="K23" s="289"/>
    </row>
    <row r="24" ht="25" customHeight="1">
      <c r="A24" s="251" t="s">
        <v>205</v>
      </c>
      <c r="B24" s="252"/>
      <c r="C24" s="252"/>
      <c r="D24" s="306" t="s">
        <v>206</v>
      </c>
      <c r="E24" s="306"/>
      <c r="F24" s="306"/>
      <c r="G24" s="252" t="s">
        <v>207</v>
      </c>
      <c r="H24" s="252"/>
      <c r="I24" s="306" t="s">
        <v>208</v>
      </c>
      <c r="J24" s="306"/>
      <c r="K24" s="289"/>
    </row>
    <row r="25" ht="25" customHeight="1">
      <c r="A25" s="251" t="s">
        <v>209</v>
      </c>
      <c r="B25" s="252"/>
      <c r="C25" s="252"/>
      <c r="D25" s="306" t="s">
        <v>118</v>
      </c>
      <c r="E25" s="306"/>
      <c r="F25" s="306"/>
      <c r="G25" s="252" t="s">
        <v>210</v>
      </c>
      <c r="H25" s="252"/>
      <c r="I25" s="306" t="s">
        <v>211</v>
      </c>
      <c r="J25" s="306"/>
      <c r="K25" s="289"/>
    </row>
    <row r="26" ht="25" customHeight="1">
      <c r="A26" s="251" t="s">
        <v>212</v>
      </c>
      <c r="B26" s="252"/>
      <c r="C26" s="252"/>
      <c r="D26" s="306" t="s">
        <v>213</v>
      </c>
      <c r="E26" s="306"/>
      <c r="F26" s="306"/>
      <c r="G26" s="252"/>
      <c r="H26" s="252"/>
      <c r="I26" s="306"/>
      <c r="J26" s="306"/>
      <c r="K26" s="289"/>
    </row>
    <row r="27" ht="28" customHeight="1">
      <c r="A27" s="251" t="s">
        <v>214</v>
      </c>
      <c r="B27" s="252"/>
      <c r="C27" s="252"/>
      <c r="D27" s="341" t="s">
        <v>215</v>
      </c>
      <c r="E27" s="342"/>
      <c r="F27" s="342"/>
      <c r="G27" s="342"/>
      <c r="H27" s="342"/>
      <c r="I27" s="342"/>
      <c r="J27" s="342"/>
      <c r="K27" s="343"/>
    </row>
    <row r="28" ht="72" customHeight="1">
      <c r="A28" s="251" t="s">
        <v>216</v>
      </c>
      <c r="B28" s="252"/>
      <c r="C28" s="252"/>
      <c r="D28" s="451" t="s">
        <v>217</v>
      </c>
      <c r="E28" s="342"/>
      <c r="F28" s="342"/>
      <c r="G28" s="342"/>
      <c r="H28" s="342"/>
      <c r="I28" s="342"/>
      <c r="J28" s="342"/>
      <c r="K28" s="343"/>
    </row>
    <row r="29" ht="25.2525" customHeight="1">
      <c r="A29" s="412" t="s">
        <v>218</v>
      </c>
      <c r="B29" s="413"/>
      <c r="C29" s="413"/>
      <c r="D29" s="414" t="s">
        <v>219</v>
      </c>
      <c r="E29" s="415"/>
      <c r="F29" s="415"/>
      <c r="G29" s="415"/>
      <c r="H29" s="415"/>
      <c r="I29" s="415"/>
      <c r="J29" s="415"/>
      <c r="K29" s="416"/>
    </row>
    <row r="31" ht="28" customHeight="1">
      <c r="A31" s="417" t="s">
        <v>127</v>
      </c>
      <c r="B31" s="411"/>
      <c r="C31" s="411"/>
      <c r="D31" s="411"/>
      <c r="E31" s="411"/>
      <c r="F31" s="411"/>
      <c r="G31" s="411"/>
      <c r="H31" s="411"/>
      <c r="I31" s="411"/>
      <c r="J31" s="411"/>
      <c r="K31" s="418"/>
    </row>
    <row r="32" ht="45" customHeight="1">
      <c r="A32" s="275" t="s">
        <v>64</v>
      </c>
      <c r="B32" s="452" t="s">
        <v>128</v>
      </c>
      <c r="C32" s="276" t="s">
        <v>129</v>
      </c>
      <c r="D32" s="276" t="s">
        <v>130</v>
      </c>
      <c r="E32" s="453" t="s">
        <v>131</v>
      </c>
      <c r="F32" s="454" t="s">
        <v>132</v>
      </c>
      <c r="G32" s="276"/>
      <c r="H32" s="455" t="s">
        <v>133</v>
      </c>
      <c r="I32" s="456" t="s">
        <v>134</v>
      </c>
      <c r="J32" s="276" t="s">
        <v>135</v>
      </c>
      <c r="K32" s="457" t="s">
        <v>136</v>
      </c>
    </row>
    <row r="33" ht="20.0025" customHeight="1">
      <c r="A33" s="277" t="s">
        <v>13</v>
      </c>
      <c r="B33" s="278" t="s">
        <v>13</v>
      </c>
      <c r="C33" s="278" t="s">
        <v>13</v>
      </c>
      <c r="D33" s="278" t="s">
        <v>13</v>
      </c>
      <c r="E33" s="278" t="s">
        <v>13</v>
      </c>
      <c r="F33" s="278" t="s">
        <v>13</v>
      </c>
      <c r="G33" s="278"/>
      <c r="H33" s="278" t="s">
        <v>13</v>
      </c>
      <c r="I33" s="278" t="s">
        <v>137</v>
      </c>
      <c r="J33" s="278" t="s">
        <v>137</v>
      </c>
      <c r="K33" s="296" t="s">
        <v>137</v>
      </c>
    </row>
    <row r="34" ht="61" customHeight="1">
      <c r="A34" s="279" t="n">
        <v>1</v>
      </c>
      <c r="B34" s="280" t="s">
        <v>220</v>
      </c>
      <c r="C34" s="281" t="s">
        <v>221</v>
      </c>
      <c r="D34" s="282" t="s">
        <v>222</v>
      </c>
      <c r="E34" s="283" t="s">
        <v>223</v>
      </c>
      <c r="F34" s="284" t="s">
        <v>224</v>
      </c>
      <c r="G34" s="284"/>
      <c r="H34" s="285" t="s">
        <v>13</v>
      </c>
      <c r="I34" s="297" t="s">
        <v>225</v>
      </c>
      <c r="J34" s="298" t="s">
        <v>226</v>
      </c>
      <c r="K34" s="299" t="s">
        <v>227</v>
      </c>
    </row>
    <row r="35" ht="35" customHeight="1">
      <c r="A35" s="279" t="n">
        <v>2</v>
      </c>
      <c r="B35" s="280" t="s">
        <v>138</v>
      </c>
      <c r="C35" s="281" t="s">
        <v>139</v>
      </c>
      <c r="D35" s="282" t="s">
        <v>13</v>
      </c>
      <c r="E35" s="283" t="s">
        <v>140</v>
      </c>
      <c r="F35" s="284" t="s">
        <v>228</v>
      </c>
      <c r="G35" s="284"/>
      <c r="H35" s="285" t="s">
        <v>142</v>
      </c>
      <c r="I35" s="297" t="s">
        <v>225</v>
      </c>
      <c r="J35" s="298" t="s">
        <v>229</v>
      </c>
      <c r="K35" s="299" t="s">
        <v>95</v>
      </c>
    </row>
    <row r="36" ht="39" customHeight="1">
      <c r="A36" s="279" t="n">
        <v>3</v>
      </c>
      <c r="B36" s="280" t="s">
        <v>155</v>
      </c>
      <c r="C36" s="281" t="s">
        <v>230</v>
      </c>
      <c r="D36" s="282" t="s">
        <v>231</v>
      </c>
      <c r="E36" s="283" t="s">
        <v>232</v>
      </c>
      <c r="F36" s="284" t="s">
        <v>233</v>
      </c>
      <c r="G36" s="284"/>
      <c r="H36" s="285"/>
      <c r="I36" s="297" t="s">
        <v>225</v>
      </c>
      <c r="J36" s="298" t="s">
        <v>234</v>
      </c>
      <c r="K36" s="299" t="s">
        <v>97</v>
      </c>
    </row>
    <row r="37" ht="63" customHeight="1">
      <c r="A37" s="279" t="n">
        <v>4</v>
      </c>
      <c r="B37" s="280" t="s">
        <v>155</v>
      </c>
      <c r="C37" s="281" t="s">
        <v>235</v>
      </c>
      <c r="D37" s="282" t="s">
        <v>236</v>
      </c>
      <c r="E37" s="458" t="s">
        <v>237</v>
      </c>
      <c r="F37" s="284" t="s">
        <v>238</v>
      </c>
      <c r="G37" s="284"/>
      <c r="H37" s="285" t="s">
        <v>239</v>
      </c>
      <c r="I37" s="297" t="s">
        <v>225</v>
      </c>
      <c r="J37" s="298" t="s">
        <v>13</v>
      </c>
      <c r="K37" s="299" t="s">
        <v>97</v>
      </c>
    </row>
    <row r="38" ht="35" customHeight="1">
      <c r="A38" s="279" t="n">
        <v>5</v>
      </c>
      <c r="B38" s="280" t="s">
        <v>155</v>
      </c>
      <c r="C38" s="281" t="s">
        <v>240</v>
      </c>
      <c r="D38" s="282" t="s">
        <v>241</v>
      </c>
      <c r="E38" s="283" t="s">
        <v>242</v>
      </c>
      <c r="F38" s="284" t="s">
        <v>243</v>
      </c>
      <c r="G38" s="284"/>
      <c r="H38" s="285"/>
      <c r="I38" s="297" t="s">
        <v>225</v>
      </c>
      <c r="J38" s="298" t="s">
        <v>13</v>
      </c>
      <c r="K38" s="299" t="s">
        <v>97</v>
      </c>
    </row>
    <row r="39" ht="180.75" customHeight="1">
      <c r="A39" s="279" t="n">
        <v>6</v>
      </c>
      <c r="B39" s="280" t="s">
        <v>155</v>
      </c>
      <c r="C39" s="281" t="s">
        <v>192</v>
      </c>
      <c r="D39" s="282" t="s">
        <v>13</v>
      </c>
      <c r="E39" s="459" t="s">
        <v>244</v>
      </c>
      <c r="F39" s="460" t="s">
        <v>245</v>
      </c>
      <c r="G39" s="284"/>
      <c r="H39" s="461" t="s">
        <v>246</v>
      </c>
      <c r="I39" s="297" t="s">
        <v>225</v>
      </c>
      <c r="J39" s="462" t="s">
        <v>247</v>
      </c>
      <c r="K39" s="299" t="s">
        <v>97</v>
      </c>
    </row>
    <row r="40" ht="122" customHeight="1">
      <c r="A40" s="279" t="n">
        <v>7</v>
      </c>
      <c r="B40" s="280" t="s">
        <v>101</v>
      </c>
      <c r="C40" s="281" t="s">
        <v>248</v>
      </c>
      <c r="D40" s="282" t="s">
        <v>249</v>
      </c>
      <c r="E40" s="463" t="s">
        <v>250</v>
      </c>
      <c r="F40" s="464" t="s">
        <v>251</v>
      </c>
      <c r="G40" s="284"/>
      <c r="H40" s="465" t="s">
        <v>252</v>
      </c>
      <c r="I40" s="297" t="s">
        <v>225</v>
      </c>
      <c r="J40" s="466" t="s">
        <v>253</v>
      </c>
      <c r="K40" s="299" t="s">
        <v>101</v>
      </c>
    </row>
    <row r="41" ht="35" customHeight="1">
      <c r="A41" s="279" t="n">
        <v>8</v>
      </c>
      <c r="B41" s="280" t="s">
        <v>101</v>
      </c>
      <c r="C41" s="281" t="s">
        <v>254</v>
      </c>
      <c r="D41" s="282" t="s">
        <v>255</v>
      </c>
      <c r="E41" s="283" t="s">
        <v>256</v>
      </c>
      <c r="F41" s="284" t="s">
        <v>257</v>
      </c>
      <c r="G41" s="284"/>
      <c r="H41" s="285" t="s">
        <v>258</v>
      </c>
      <c r="I41" s="297" t="s">
        <v>225</v>
      </c>
      <c r="J41" s="298" t="s">
        <v>259</v>
      </c>
      <c r="K41" s="299" t="s">
        <v>101</v>
      </c>
    </row>
    <row r="42" ht="96" customHeight="1">
      <c r="A42" s="279" t="n">
        <v>9</v>
      </c>
      <c r="B42" s="280" t="s">
        <v>147</v>
      </c>
      <c r="C42" s="281" t="s">
        <v>260</v>
      </c>
      <c r="D42" s="282" t="s">
        <v>261</v>
      </c>
      <c r="E42" s="467" t="s">
        <v>262</v>
      </c>
      <c r="F42" s="468" t="s">
        <v>263</v>
      </c>
      <c r="G42" s="284"/>
      <c r="H42" s="285" t="s">
        <v>264</v>
      </c>
      <c r="I42" s="297" t="s">
        <v>225</v>
      </c>
      <c r="J42" s="469" t="s">
        <v>265</v>
      </c>
      <c r="K42" s="299" t="s">
        <v>147</v>
      </c>
    </row>
    <row r="43" ht="90.75" customHeight="1">
      <c r="A43" s="310" t="n">
        <v>10</v>
      </c>
      <c r="B43" s="311" t="s">
        <v>266</v>
      </c>
      <c r="C43" s="312" t="s">
        <v>267</v>
      </c>
      <c r="D43" s="313"/>
      <c r="E43" s="314" t="s">
        <v>268</v>
      </c>
      <c r="F43" s="315" t="s">
        <v>269</v>
      </c>
      <c r="G43" s="315"/>
      <c r="H43" s="373" t="s">
        <v>270</v>
      </c>
      <c r="I43" s="317" t="s">
        <v>225</v>
      </c>
      <c r="J43" s="470" t="s">
        <v>271</v>
      </c>
      <c r="K43" s="319" t="s">
        <v>272</v>
      </c>
    </row>
  </sheetData>
  <mergeCells count="107">
    <mergeCell ref="A18:C18"/>
    <mergeCell ref="G9:H9"/>
    <mergeCell ref="G24:H24"/>
    <mergeCell ref="D23:F23"/>
    <mergeCell ref="F38:G38"/>
    <mergeCell ref="G6:H6"/>
    <mergeCell ref="A26:C26"/>
    <mergeCell ref="A1:K1"/>
    <mergeCell ref="D19:K19"/>
    <mergeCell ref="D15:F15"/>
    <mergeCell ref="D14:F14"/>
    <mergeCell ref="I15:K15"/>
    <mergeCell ref="G26:H26"/>
    <mergeCell ref="A21:C21"/>
    <mergeCell ref="D20:F20"/>
    <mergeCell ref="G20:H20"/>
    <mergeCell ref="D10:F10"/>
    <mergeCell ref="G4:H4"/>
    <mergeCell ref="A12:C12"/>
    <mergeCell ref="A25:C25"/>
    <mergeCell ref="F42:G42"/>
    <mergeCell ref="I18:K18"/>
    <mergeCell ref="A29:C29"/>
    <mergeCell ref="F39:G39"/>
    <mergeCell ref="I22:K22"/>
    <mergeCell ref="A10:C10"/>
    <mergeCell ref="G13:H13"/>
    <mergeCell ref="I16:K16"/>
    <mergeCell ref="D24:F24"/>
    <mergeCell ref="F35:G35"/>
    <mergeCell ref="A9:C9"/>
    <mergeCell ref="A6:C6"/>
    <mergeCell ref="I13:K13"/>
    <mergeCell ref="D26:F26"/>
    <mergeCell ref="D13:F13"/>
    <mergeCell ref="I23:K23"/>
    <mergeCell ref="A11:C11"/>
    <mergeCell ref="D5:F5"/>
    <mergeCell ref="A5:C5"/>
    <mergeCell ref="A27:C27"/>
    <mergeCell ref="A7:C7"/>
    <mergeCell ref="A23:C23"/>
    <mergeCell ref="D6:F6"/>
    <mergeCell ref="D16:F16"/>
    <mergeCell ref="D12:K12"/>
    <mergeCell ref="D17:F17"/>
    <mergeCell ref="D7:F7"/>
    <mergeCell ref="I20:K20"/>
    <mergeCell ref="G17:H17"/>
    <mergeCell ref="A31:K31"/>
    <mergeCell ref="F33:G33"/>
    <mergeCell ref="A16:C16"/>
    <mergeCell ref="G23:H23"/>
    <mergeCell ref="D18:F18"/>
    <mergeCell ref="G22:H22"/>
    <mergeCell ref="A3:K3"/>
    <mergeCell ref="D11:K11"/>
    <mergeCell ref="G25:H25"/>
    <mergeCell ref="F32:G32"/>
    <mergeCell ref="F36:G36"/>
    <mergeCell ref="G8:H8"/>
    <mergeCell ref="D21:F21"/>
    <mergeCell ref="D29:K29"/>
    <mergeCell ref="D9:F9"/>
    <mergeCell ref="G21:H21"/>
    <mergeCell ref="A22:C22"/>
    <mergeCell ref="D28:K28"/>
    <mergeCell ref="G18:H18"/>
    <mergeCell ref="I5:K5"/>
    <mergeCell ref="F34:G34"/>
    <mergeCell ref="D27:K27"/>
    <mergeCell ref="I7:K7"/>
    <mergeCell ref="I6:K6"/>
    <mergeCell ref="G5:H5"/>
    <mergeCell ref="I8:K8"/>
    <mergeCell ref="G16:H16"/>
    <mergeCell ref="I14:K14"/>
    <mergeCell ref="A15:C15"/>
    <mergeCell ref="D22:F22"/>
    <mergeCell ref="I9:K9"/>
    <mergeCell ref="D8:F8"/>
    <mergeCell ref="F37:G37"/>
    <mergeCell ref="D4:F4"/>
    <mergeCell ref="A24:C24"/>
    <mergeCell ref="A17:C17"/>
    <mergeCell ref="A19:C19"/>
    <mergeCell ref="I17:K17"/>
    <mergeCell ref="I4:K4"/>
    <mergeCell ref="I25:K25"/>
    <mergeCell ref="A20:C20"/>
    <mergeCell ref="A13:C13"/>
    <mergeCell ref="I24:K24"/>
    <mergeCell ref="G15:H15"/>
    <mergeCell ref="G7:H7"/>
    <mergeCell ref="D25:F25"/>
    <mergeCell ref="G10:H10"/>
    <mergeCell ref="A28:C28"/>
    <mergeCell ref="I10:K10"/>
    <mergeCell ref="I21:K21"/>
    <mergeCell ref="A4:C4"/>
    <mergeCell ref="I26:K26"/>
    <mergeCell ref="A14:C14"/>
    <mergeCell ref="G14:H14"/>
    <mergeCell ref="F41:G41"/>
    <mergeCell ref="F43:G43"/>
    <mergeCell ref="A8:C8"/>
    <mergeCell ref="F40:G40"/>
  </mergeCells>
  <phoneticPr fontId="1" type="noConversion"/>
  <dataValidations count="11">
    <dataValidation type="list" allowBlank="1" sqref="I43">
      <formula1>"绿灯,黄灯,红灯"</formula1>
    </dataValidation>
    <dataValidation type="list" allowBlank="1" showInputMessage="1" showErrorMessage="1" sqref="D18:F18">
      <formula1>"请选择,银行转账,银行承兑汇票（3个月内到期）,银行承兑汇票（超3个月到期）,商业承兑汇票"</formula1>
    </dataValidation>
    <dataValidation type="list" allowBlank="1" showInputMessage="1" showErrorMessage="1" sqref="D26:F26">
      <formula1>"是 / 否（请选择）,是,否"</formula1>
    </dataValidation>
    <dataValidation type="list" allowBlank="1" showInputMessage="1" showErrorMessage="1" sqref="D6:F6">
      <formula1>"G1 / B2 / G2（请选择）,G1,G2,B2"</formula1>
    </dataValidation>
    <dataValidation type="list" allowBlank="1" showInputMessage="1" showErrorMessage="1" sqref="D13:F13 D25:F25 I13:K13">
      <formula1>"是 / 否（请选择）,是,否"</formula1>
    </dataValidation>
    <dataValidation type="list" allowBlank="1" showInputMessage="1" showErrorMessage="1" sqref="D17:F17 I24:K24">
      <formula1>"无/内部/外部/均包含,无,内部,外部,内外兼有"</formula1>
    </dataValidation>
    <dataValidation type="list" allowBlank="1" sqref="I42">
      <formula1>"绿灯,黄灯,红灯"</formula1>
    </dataValidation>
    <dataValidation type="list" allowBlank="1" showInputMessage="1" showErrorMessage="1" sqref="D14:F14 I14:K14">
      <formula1>"是 / 否（请选择）,是,否"</formula1>
    </dataValidation>
    <dataValidation type="list" allowBlank="1" showInputMessage="1" showErrorMessage="1" sqref="D20:F20">
      <formula1>"请选择,回款+验收=均非背靠背,仅回款背靠背,仅验收背靠背,回款+验收=全部背靠背,已知回款背靠背，验收条款未知,尚未确定"</formula1>
    </dataValidation>
    <dataValidation type="list" allowBlank="1" showInputMessage="1" showErrorMessage="1" sqref="I5:K5">
      <formula1>"请选择,华南营销处,华北营销处-区域,华北营销处-渠道"</formula1>
    </dataValidation>
    <dataValidation type="list" allowBlank="1" sqref="I25:K26 I34:I41">
      <formula1>"绿灯,黄灯,红灯"</formula1>
    </dataValidation>
  </dataValidations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D99694"/>
    <outlinePr summaryBelow="0" summaryRight="0"/>
    <pageSetUpPr fitToPage="1"/>
  </sheetPr>
  <dimension ref="A1"/>
  <sheetViews>
    <sheetView workbookViewId="0">
      <pane topLeftCell="A2" activePane="bottomRight" state="frozen" ySplit="1"/>
    </sheetView>
  </sheetViews>
  <sheetFormatPr baseColWidth="10" defaultColWidth="9" defaultRowHeight="20.0025" customHeight="1"/>
  <cols>
    <col min="1" max="1" width="4.998046875" customWidth="1" style="245"/>
    <col min="2" max="2" width="13.998046875" customWidth="1" style="245"/>
    <col min="3" max="3" width="15.9990234375" customWidth="1" style="245"/>
    <col min="4" max="4" width="13.998046875" customWidth="1" style="245"/>
    <col min="5" max="5" width="25.6640625" customWidth="1" style="245"/>
    <col min="6" max="6" width="21.6650390625" customWidth="1" style="245"/>
    <col min="7" max="7" width="24.83203125" customWidth="1" style="245"/>
    <col min="8" max="8" width="27.9990234375" customWidth="1" style="245"/>
    <col min="9" max="9" width="19.998046875" customWidth="1" style="245"/>
    <col min="10" max="10" width="12" customWidth="1" style="245"/>
    <col min="11" max="11" width="19.998046875" customWidth="1" style="245"/>
  </cols>
  <sheetData>
    <row r="1" ht="45" customHeight="1">
      <c r="A1" s="246" t="s">
        <v>273</v>
      </c>
      <c r="B1" s="247"/>
      <c r="C1" s="247"/>
      <c r="D1" s="247"/>
      <c r="E1" s="247"/>
      <c r="F1" s="247"/>
      <c r="G1" s="247"/>
      <c r="H1" s="247"/>
      <c r="I1" s="247"/>
      <c r="J1" s="247"/>
      <c r="K1" s="286"/>
    </row>
    <row r="2" ht="20.0025" customHeight="1">
      <c r="A2" s="248"/>
      <c r="K2" s="287"/>
    </row>
    <row r="3" ht="28" customHeight="1">
      <c r="A3" s="249" t="s">
        <v>274</v>
      </c>
      <c r="B3" s="250"/>
      <c r="C3" s="250"/>
      <c r="D3" s="250"/>
      <c r="E3" s="250"/>
      <c r="F3" s="250"/>
      <c r="G3" s="250"/>
      <c r="H3" s="250"/>
      <c r="I3" s="250"/>
      <c r="J3" s="250"/>
      <c r="K3" s="288"/>
    </row>
    <row r="4" ht="25" customHeight="1">
      <c r="A4" s="251" t="s">
        <v>275</v>
      </c>
      <c r="B4" s="252"/>
      <c r="C4" s="252"/>
      <c r="D4" s="253" t="s">
        <v>13</v>
      </c>
      <c r="E4" s="253"/>
      <c r="F4" s="253"/>
      <c r="G4" s="252" t="s">
        <v>276</v>
      </c>
      <c r="H4" s="252"/>
      <c r="I4" s="253" t="s">
        <v>13</v>
      </c>
      <c r="J4" s="253"/>
      <c r="K4" s="289"/>
    </row>
    <row r="5" ht="25" customHeight="1">
      <c r="A5" s="251" t="s">
        <v>24</v>
      </c>
      <c r="B5" s="252"/>
      <c r="C5" s="252"/>
      <c r="D5" s="253" t="s">
        <v>13</v>
      </c>
      <c r="E5" s="253"/>
      <c r="F5" s="253"/>
      <c r="G5" s="252" t="s">
        <v>55</v>
      </c>
      <c r="H5" s="252"/>
      <c r="I5" s="253" t="s">
        <v>13</v>
      </c>
      <c r="J5" s="253"/>
      <c r="K5" s="289"/>
    </row>
    <row r="6" ht="25" customHeight="1">
      <c r="A6" s="251" t="s">
        <v>115</v>
      </c>
      <c r="B6" s="252"/>
      <c r="C6" s="252"/>
      <c r="D6" s="253" t="s">
        <v>116</v>
      </c>
      <c r="E6" s="253"/>
      <c r="F6" s="253"/>
      <c r="G6" s="252" t="s">
        <v>117</v>
      </c>
      <c r="H6" s="252"/>
      <c r="I6" s="253" t="s">
        <v>118</v>
      </c>
      <c r="J6" s="253"/>
      <c r="K6" s="253"/>
    </row>
    <row r="7" s="245" customFormat="1" ht="25" customHeight="1">
      <c r="A7" s="251" t="s">
        <v>277</v>
      </c>
      <c r="B7" s="252"/>
      <c r="C7" s="252"/>
      <c r="D7" s="253"/>
      <c r="E7" s="253"/>
      <c r="F7" s="253"/>
      <c r="G7" s="252" t="s">
        <v>278</v>
      </c>
      <c r="H7" s="252"/>
      <c r="I7" s="253" t="s">
        <v>118</v>
      </c>
      <c r="J7" s="253"/>
      <c r="K7" s="289"/>
    </row>
    <row r="8" s="245" customFormat="1" ht="25" customHeight="1">
      <c r="A8" s="251" t="s">
        <v>279</v>
      </c>
      <c r="B8" s="252"/>
      <c r="C8" s="252"/>
      <c r="D8" s="253" t="s">
        <v>13</v>
      </c>
      <c r="E8" s="253"/>
      <c r="F8" s="253"/>
      <c r="G8" s="252" t="s">
        <v>280</v>
      </c>
      <c r="H8" s="252"/>
      <c r="I8" s="253" t="s">
        <v>13</v>
      </c>
      <c r="J8" s="253"/>
      <c r="K8" s="289"/>
    </row>
    <row r="9" ht="25" customHeight="1">
      <c r="A9" s="251" t="s">
        <v>281</v>
      </c>
      <c r="B9" s="252"/>
      <c r="C9" s="252"/>
      <c r="D9" s="254" t="s">
        <v>118</v>
      </c>
      <c r="E9" s="255"/>
      <c r="F9" s="255"/>
      <c r="G9" s="255"/>
      <c r="H9" s="255"/>
      <c r="I9" s="255"/>
      <c r="J9" s="255"/>
      <c r="K9" s="290"/>
    </row>
    <row r="10" ht="50" customHeight="1">
      <c r="A10" s="256" t="s">
        <v>282</v>
      </c>
      <c r="B10" s="257"/>
      <c r="C10" s="257"/>
      <c r="D10" s="258" t="s">
        <v>13</v>
      </c>
      <c r="E10" s="259"/>
      <c r="F10" s="259"/>
      <c r="G10" s="259"/>
      <c r="H10" s="259"/>
      <c r="I10" s="259"/>
      <c r="J10" s="259"/>
      <c r="K10" s="291"/>
    </row>
    <row r="11" ht="23" customHeight="1">
      <c r="A11" s="260" t="s">
        <v>283</v>
      </c>
      <c r="B11" s="261"/>
      <c r="C11" s="261"/>
      <c r="D11" s="261"/>
      <c r="E11" s="261"/>
      <c r="F11" s="261"/>
      <c r="G11" s="261"/>
      <c r="H11" s="261"/>
      <c r="I11" s="261"/>
      <c r="J11" s="261"/>
      <c r="K11" s="292"/>
    </row>
    <row r="12" ht="25" customHeight="1">
      <c r="A12" s="262" t="s">
        <v>284</v>
      </c>
      <c r="B12" s="263"/>
      <c r="C12" s="263"/>
      <c r="D12" s="264" t="s">
        <v>13</v>
      </c>
      <c r="E12" s="265"/>
      <c r="F12" s="266"/>
      <c r="G12" s="267" t="s">
        <v>285</v>
      </c>
      <c r="H12" s="268"/>
      <c r="I12" s="264" t="s">
        <v>13</v>
      </c>
      <c r="J12" s="265"/>
      <c r="K12" s="293"/>
    </row>
    <row r="13" ht="25" customHeight="1">
      <c r="A13" s="262" t="s">
        <v>286</v>
      </c>
      <c r="B13" s="263"/>
      <c r="C13" s="263"/>
      <c r="D13" s="264"/>
      <c r="E13" s="265"/>
      <c r="F13" s="266"/>
      <c r="G13" s="267" t="s">
        <v>287</v>
      </c>
      <c r="H13" s="268"/>
      <c r="I13" s="264"/>
      <c r="J13" s="265"/>
      <c r="K13" s="293"/>
    </row>
    <row r="14" ht="25" customHeight="1">
      <c r="A14" s="262" t="s">
        <v>288</v>
      </c>
      <c r="B14" s="263"/>
      <c r="C14" s="263"/>
      <c r="D14" s="264"/>
      <c r="E14" s="265"/>
      <c r="F14" s="266"/>
      <c r="G14" s="267" t="s">
        <v>289</v>
      </c>
      <c r="H14" s="268"/>
      <c r="I14" s="264"/>
      <c r="J14" s="265"/>
      <c r="K14" s="293"/>
    </row>
    <row r="15" s="245" customFormat="1" ht="25" customHeight="1">
      <c r="A15" s="262" t="s">
        <v>290</v>
      </c>
      <c r="B15" s="263"/>
      <c r="C15" s="263"/>
      <c r="D15" s="264"/>
      <c r="E15" s="265"/>
      <c r="F15" s="266"/>
      <c r="G15" s="267" t="s">
        <v>291</v>
      </c>
      <c r="H15" s="268"/>
      <c r="I15" s="264"/>
      <c r="J15" s="265"/>
      <c r="K15" s="293"/>
    </row>
    <row r="16" s="245" customFormat="1" ht="32" customHeight="1">
      <c r="A16" s="262" t="s">
        <v>292</v>
      </c>
      <c r="B16" s="263"/>
      <c r="C16" s="263"/>
      <c r="D16" s="269" t="s">
        <v>293</v>
      </c>
      <c r="E16" s="270"/>
      <c r="F16" s="270"/>
      <c r="G16" s="270"/>
      <c r="H16" s="270"/>
      <c r="I16" s="270"/>
      <c r="J16" s="270"/>
      <c r="K16" s="294"/>
    </row>
    <row r="17" s="245" customFormat="1" ht="32" customHeight="1">
      <c r="A17" s="262" t="s">
        <v>294</v>
      </c>
      <c r="B17" s="263"/>
      <c r="C17" s="263"/>
      <c r="D17" s="269" t="s">
        <v>293</v>
      </c>
      <c r="E17" s="270"/>
      <c r="F17" s="270"/>
      <c r="G17" s="270"/>
      <c r="H17" s="270"/>
      <c r="I17" s="270"/>
      <c r="J17" s="270"/>
      <c r="K17" s="294"/>
    </row>
    <row r="18" ht="25" customHeight="1">
      <c r="A18" s="271" t="s">
        <v>295</v>
      </c>
      <c r="B18" s="272"/>
      <c r="C18" s="272"/>
      <c r="D18" s="273" t="s">
        <v>293</v>
      </c>
      <c r="E18" s="274"/>
      <c r="F18" s="274"/>
      <c r="G18" s="274"/>
      <c r="H18" s="274"/>
      <c r="I18" s="274"/>
      <c r="J18" s="274"/>
      <c r="K18" s="295"/>
    </row>
    <row r="19" ht="20.0025" customHeight="1">
      <c r="A19" s="248"/>
      <c r="K19" s="287"/>
    </row>
    <row r="20" ht="28" customHeight="1">
      <c r="A20" s="249" t="s">
        <v>127</v>
      </c>
      <c r="B20" s="250"/>
      <c r="C20" s="250"/>
      <c r="D20" s="250"/>
      <c r="E20" s="250"/>
      <c r="F20" s="250"/>
      <c r="G20" s="250"/>
      <c r="H20" s="250"/>
      <c r="I20" s="250"/>
      <c r="J20" s="250"/>
      <c r="K20" s="288"/>
    </row>
    <row r="21" ht="45" customHeight="1">
      <c r="A21" s="275" t="s">
        <v>64</v>
      </c>
      <c r="B21" s="471" t="s">
        <v>128</v>
      </c>
      <c r="C21" s="276" t="s">
        <v>129</v>
      </c>
      <c r="D21" s="276" t="s">
        <v>130</v>
      </c>
      <c r="E21" s="472" t="s">
        <v>131</v>
      </c>
      <c r="F21" s="473" t="s">
        <v>132</v>
      </c>
      <c r="G21" s="276"/>
      <c r="H21" s="474" t="s">
        <v>133</v>
      </c>
      <c r="I21" s="475" t="s">
        <v>134</v>
      </c>
      <c r="J21" s="276" t="s">
        <v>135</v>
      </c>
      <c r="K21" s="476" t="s">
        <v>136</v>
      </c>
    </row>
    <row r="22" ht="20.0025" customHeight="1">
      <c r="A22" s="277" t="s">
        <v>13</v>
      </c>
      <c r="B22" s="278" t="s">
        <v>13</v>
      </c>
      <c r="C22" s="278" t="s">
        <v>13</v>
      </c>
      <c r="D22" s="278" t="s">
        <v>13</v>
      </c>
      <c r="E22" s="278" t="s">
        <v>13</v>
      </c>
      <c r="F22" s="278" t="s">
        <v>13</v>
      </c>
      <c r="G22" s="278"/>
      <c r="H22" s="278" t="s">
        <v>13</v>
      </c>
      <c r="I22" s="278" t="s">
        <v>137</v>
      </c>
      <c r="J22" s="278" t="s">
        <v>137</v>
      </c>
      <c r="K22" s="296" t="s">
        <v>137</v>
      </c>
    </row>
    <row r="23" ht="35" customHeight="1">
      <c r="A23" s="279" t="n">
        <v>1</v>
      </c>
      <c r="B23" s="280" t="s">
        <v>138</v>
      </c>
      <c r="C23" s="281" t="s">
        <v>139</v>
      </c>
      <c r="D23" s="282" t="s">
        <v>13</v>
      </c>
      <c r="E23" s="283" t="s">
        <v>140</v>
      </c>
      <c r="F23" s="284" t="s">
        <v>228</v>
      </c>
      <c r="G23" s="284"/>
      <c r="H23" s="285" t="s">
        <v>142</v>
      </c>
      <c r="I23" s="297" t="s">
        <v>13</v>
      </c>
      <c r="J23" s="298" t="s">
        <v>13</v>
      </c>
      <c r="K23" s="299" t="s">
        <v>95</v>
      </c>
    </row>
    <row r="24" s="245" customFormat="1" ht="61" customHeight="1">
      <c r="A24" s="279" t="n">
        <v>2</v>
      </c>
      <c r="B24" s="280" t="s">
        <v>220</v>
      </c>
      <c r="C24" s="281" t="s">
        <v>221</v>
      </c>
      <c r="D24" s="282" t="s">
        <v>222</v>
      </c>
      <c r="E24" s="283" t="s">
        <v>223</v>
      </c>
      <c r="F24" s="284" t="s">
        <v>224</v>
      </c>
      <c r="G24" s="284"/>
      <c r="H24" s="285" t="s">
        <v>13</v>
      </c>
      <c r="I24" s="297" t="s">
        <v>13</v>
      </c>
      <c r="J24" s="298" t="s">
        <v>13</v>
      </c>
      <c r="K24" s="300" t="s">
        <v>227</v>
      </c>
    </row>
    <row r="25" ht="40" customHeight="1">
      <c r="A25" s="279" t="n">
        <v>3</v>
      </c>
      <c r="B25" s="280" t="s">
        <v>296</v>
      </c>
      <c r="C25" s="281" t="s">
        <v>297</v>
      </c>
      <c r="D25" s="282" t="s">
        <v>13</v>
      </c>
      <c r="E25" s="283" t="s">
        <v>298</v>
      </c>
      <c r="F25" s="284" t="s">
        <v>299</v>
      </c>
      <c r="G25" s="284"/>
      <c r="H25" s="285" t="s">
        <v>13</v>
      </c>
      <c r="I25" s="297" t="s">
        <v>13</v>
      </c>
      <c r="J25" s="298" t="s">
        <v>13</v>
      </c>
      <c r="K25" s="299" t="s">
        <v>300</v>
      </c>
    </row>
    <row r="26" ht="35" customHeight="1">
      <c r="A26" s="279" t="n">
        <v>4</v>
      </c>
      <c r="B26" s="280" t="s">
        <v>155</v>
      </c>
      <c r="C26" s="281" t="s">
        <v>301</v>
      </c>
      <c r="D26" s="282" t="s">
        <v>13</v>
      </c>
      <c r="E26" s="283" t="s">
        <v>302</v>
      </c>
      <c r="F26" s="477" t="s">
        <v>303</v>
      </c>
      <c r="G26" s="284"/>
      <c r="H26" s="285" t="s">
        <v>13</v>
      </c>
      <c r="I26" s="297" t="s">
        <v>13</v>
      </c>
      <c r="J26" s="298" t="s">
        <v>13</v>
      </c>
      <c r="K26" s="299" t="s">
        <v>97</v>
      </c>
    </row>
  </sheetData>
  <mergeCells count="56">
    <mergeCell ref="A16:C16"/>
    <mergeCell ref="D15:F15"/>
    <mergeCell ref="D9:K9"/>
    <mergeCell ref="I5:K5"/>
    <mergeCell ref="A8:C8"/>
    <mergeCell ref="G14:H14"/>
    <mergeCell ref="I4:K4"/>
    <mergeCell ref="A6:C6"/>
    <mergeCell ref="G13:H13"/>
    <mergeCell ref="A1:K1"/>
    <mergeCell ref="A4:C4"/>
    <mergeCell ref="G15:H15"/>
    <mergeCell ref="D4:F4"/>
    <mergeCell ref="A9:C9"/>
    <mergeCell ref="G4:H4"/>
    <mergeCell ref="D6:F6"/>
    <mergeCell ref="F22:G22"/>
    <mergeCell ref="I8:K8"/>
    <mergeCell ref="A15:C15"/>
    <mergeCell ref="A11:K11"/>
    <mergeCell ref="D5:F5"/>
    <mergeCell ref="A10:C10"/>
    <mergeCell ref="D8:F8"/>
    <mergeCell ref="A18:C18"/>
    <mergeCell ref="D18:K18"/>
    <mergeCell ref="G7:H7"/>
    <mergeCell ref="G5:H5"/>
    <mergeCell ref="A3:K3"/>
    <mergeCell ref="F24:G24"/>
    <mergeCell ref="I6:K6"/>
    <mergeCell ref="I15:K15"/>
    <mergeCell ref="D17:K17"/>
    <mergeCell ref="A12:C12"/>
    <mergeCell ref="D13:F13"/>
    <mergeCell ref="F23:G23"/>
    <mergeCell ref="D10:K10"/>
    <mergeCell ref="I14:K14"/>
    <mergeCell ref="A5:C5"/>
    <mergeCell ref="A14:C14"/>
    <mergeCell ref="F25:G25"/>
    <mergeCell ref="I7:K7"/>
    <mergeCell ref="G8:H8"/>
    <mergeCell ref="D12:F12"/>
    <mergeCell ref="D16:K16"/>
    <mergeCell ref="I12:K12"/>
    <mergeCell ref="G12:H12"/>
    <mergeCell ref="D7:F7"/>
    <mergeCell ref="A20:K20"/>
    <mergeCell ref="G6:H6"/>
    <mergeCell ref="F21:G21"/>
    <mergeCell ref="A13:C13"/>
    <mergeCell ref="D14:F14"/>
    <mergeCell ref="A17:C17"/>
    <mergeCell ref="A7:C7"/>
    <mergeCell ref="F26:G26"/>
    <mergeCell ref="I13:K13"/>
  </mergeCells>
  <phoneticPr fontId="1" type="noConversion"/>
  <dataValidations count="5">
    <dataValidation type="list" allowBlank="1" showInputMessage="1" showErrorMessage="1" sqref="D6:F6">
      <formula1>"G1 / B2 / G2（请选择）,G1,G2,B2"</formula1>
    </dataValidation>
    <dataValidation type="list" allowBlank="1" sqref="I23 I24 I25:I26">
      <formula1>"绿灯,黄灯,红灯"</formula1>
    </dataValidation>
    <dataValidation type="list" allowBlank="1" showInputMessage="1" showErrorMessage="1" sqref="I7:K7">
      <formula1>"请选择,运维中,实施中"</formula1>
    </dataValidation>
    <dataValidation type="list" allowBlank="1" showInputMessage="1" showErrorMessage="1" sqref="I6:K6">
      <formula1>"请选择,华南营销处,华北营销处-区域,华北营销处-渠道"</formula1>
    </dataValidation>
    <dataValidation type="list" allowBlank="1" showInputMessage="1" showErrorMessage="1" sqref="D9:K9">
      <formula1>"请选择,签单与投标决策差异,项目成本变动,验收单异常,分包变化,项目核减,坏账,项目非正常终止,化债,其他"</formula1>
    </dataValidation>
  </dataValidation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="90" zoomScaleNormal="90" showGridLines="0"/>
  </sheetViews>
  <sheetFormatPr baseColWidth="10" defaultColWidth="9" defaultRowHeight="17.4" customHeight="1"/>
  <cols>
    <col min="1" max="1" width="12.791015625" customWidth="1" style="340"/>
    <col min="2" max="2" width="15.9990234375" customWidth="1" style="340"/>
    <col min="3" max="3" width="17.1650390625" customWidth="1" style="340"/>
    <col min="4" max="4" width="20.33203125" customWidth="1" style="340"/>
    <col min="5" max="5" width="22.998046875" customWidth="1" style="340"/>
    <col min="6" max="6" width="24.1640625" customWidth="1" style="173"/>
    <col min="7" max="7" width="22.166015625" customWidth="1" style="173"/>
    <col min="8" max="8" width="21.9990234375" customWidth="1" style="174"/>
    <col min="9" max="9" width="20.1650390625" customWidth="1" style="175"/>
    <col min="10" max="10" width="19.3330078125" customWidth="1" style="175"/>
    <col min="11" max="11" width="13.166015625" customWidth="1" style="340"/>
    <col min="12" max="12" width="9.6650390625" customWidth="1" style="340"/>
    <col min="13" max="13" width="11.1650390625" customWidth="1" style="340"/>
    <col min="14" max="15" width="6.1640625" customWidth="1" style="340"/>
    <col min="16" max="40" width="9" style="6"/>
  </cols>
  <sheetData>
    <row r="1" s="340" customFormat="1" ht="50.25" customHeight="1">
      <c r="A1" s="176" t="s">
        <v>304</v>
      </c>
      <c r="B1" s="177"/>
      <c r="C1" s="177"/>
      <c r="D1" s="177"/>
      <c r="E1" s="177"/>
      <c r="F1" s="177"/>
      <c r="G1" s="177"/>
      <c r="H1" s="177"/>
      <c r="I1" s="177"/>
      <c r="J1" s="224"/>
    </row>
    <row r="2" s="340" customFormat="1" ht="27.75" customHeight="1">
      <c r="A2" s="178" t="s">
        <v>305</v>
      </c>
      <c r="B2" s="179" t="s">
        <v>306</v>
      </c>
      <c r="C2" s="180" t="s">
        <v>307</v>
      </c>
      <c r="D2" s="179" t="s">
        <v>162</v>
      </c>
      <c r="E2" s="180" t="s">
        <v>308</v>
      </c>
      <c r="F2" s="179" t="s">
        <v>168</v>
      </c>
      <c r="G2" s="180" t="s">
        <v>55</v>
      </c>
      <c r="H2" s="179" t="s">
        <v>169</v>
      </c>
      <c r="I2" s="180" t="s">
        <v>309</v>
      </c>
      <c r="J2" s="225" t="n">
        <v>1</v>
      </c>
    </row>
    <row r="3" s="340" customFormat="1" ht="25.5" customHeight="1">
      <c r="A3" s="178" t="s">
        <v>310</v>
      </c>
      <c r="B3" s="181" t="s">
        <v>311</v>
      </c>
      <c r="C3" s="180" t="s">
        <v>312</v>
      </c>
      <c r="D3" s="179" t="s">
        <v>167</v>
      </c>
      <c r="E3" s="180" t="s">
        <v>112</v>
      </c>
      <c r="F3" s="179" t="s">
        <v>163</v>
      </c>
      <c r="G3" s="180" t="s">
        <v>276</v>
      </c>
      <c r="H3" s="179" t="s">
        <v>313</v>
      </c>
      <c r="I3" s="180" t="s">
        <v>120</v>
      </c>
      <c r="J3" s="410" t="n">
        <v>46325</v>
      </c>
    </row>
    <row r="4" s="340" customFormat="1" ht="25.5" customHeight="1">
      <c r="A4" s="178" t="s">
        <v>314</v>
      </c>
      <c r="B4" s="182" t="n">
        <v>46325</v>
      </c>
      <c r="C4" s="180" t="s">
        <v>315</v>
      </c>
      <c r="D4" s="182" t="n">
        <v>46476</v>
      </c>
      <c r="E4" s="180" t="s">
        <v>316</v>
      </c>
      <c r="F4" s="179" t="s">
        <v>173</v>
      </c>
      <c r="G4" s="180" t="s">
        <v>278</v>
      </c>
      <c r="H4" s="183" t="s">
        <v>164</v>
      </c>
      <c r="I4" s="180" t="s">
        <v>317</v>
      </c>
      <c r="J4" s="226" t="n">
        <v>1</v>
      </c>
    </row>
    <row r="5" s="340" customFormat="1" ht="37.5" customHeight="1">
      <c r="A5" s="178" t="s">
        <v>318</v>
      </c>
      <c r="B5" s="184" t="s">
        <v>319</v>
      </c>
      <c r="C5" s="344"/>
      <c r="D5" s="180" t="s">
        <v>320</v>
      </c>
      <c r="E5" s="180" t="s">
        <v>321</v>
      </c>
      <c r="F5" s="180" t="s">
        <v>322</v>
      </c>
      <c r="G5" s="180" t="s">
        <v>323</v>
      </c>
      <c r="H5" s="180" t="s">
        <v>324</v>
      </c>
      <c r="I5" s="188" t="s">
        <v>325</v>
      </c>
      <c r="J5" s="227"/>
    </row>
    <row r="6" s="172" customFormat="1" ht="30" customHeight="1">
      <c r="A6" s="186"/>
      <c r="B6" s="187" t="n">
        <v>240000</v>
      </c>
      <c r="C6" s="345"/>
      <c r="D6" s="187" t="n">
        <f>B6/(1+6%)</f>
        <v>226415.094339623</v>
      </c>
      <c r="E6" s="187" t="n">
        <f>G10</f>
        <v>0</v>
      </c>
      <c r="F6" s="187" t="n">
        <f>G11</f>
        <v>0</v>
      </c>
      <c r="G6" s="187" t="n">
        <f>D6-(E6+F6)/1.06-B8</f>
        <v>226415.094339623</v>
      </c>
      <c r="H6" s="187" t="n">
        <f>SUM(G19:G28)</f>
        <v>146896</v>
      </c>
      <c r="I6" s="190" t="n">
        <f>'附3-交付成本评估'!CK2</f>
        <v>0</v>
      </c>
      <c r="J6" s="228"/>
    </row>
    <row r="7" s="172" customFormat="1" ht="40.5" customHeight="1">
      <c r="A7" s="178" t="s">
        <v>326</v>
      </c>
      <c r="B7" s="180" t="s">
        <v>327</v>
      </c>
      <c r="C7" s="344"/>
      <c r="D7" s="180" t="s">
        <v>328</v>
      </c>
      <c r="E7" s="180" t="s">
        <v>329</v>
      </c>
      <c r="F7" s="180" t="s">
        <v>330</v>
      </c>
      <c r="G7" s="188" t="s">
        <v>331</v>
      </c>
      <c r="H7" s="188" t="s">
        <v>332</v>
      </c>
      <c r="I7" s="188" t="s">
        <v>333</v>
      </c>
      <c r="J7" s="227" t="s">
        <v>334</v>
      </c>
    </row>
    <row r="8" s="172" customFormat="1" ht="30" customHeight="1">
      <c r="A8" s="186"/>
      <c r="B8" s="187" t="n">
        <f>G12</f>
        <v>0</v>
      </c>
      <c r="C8" s="344"/>
      <c r="D8" s="187" t="n">
        <f>SUM(G13:G17)</f>
        <v>53712.1509433962</v>
      </c>
      <c r="E8" s="187" t="n">
        <f>G6-D8</f>
        <v>172702.943396227</v>
      </c>
      <c r="F8" s="189" t="n">
        <f>E8/D6</f>
        <v>0.762771333333335</v>
      </c>
      <c r="G8" s="190" t="n">
        <f>G6-D8-H6-G18</f>
        <v>12508.8167547175</v>
      </c>
      <c r="H8" s="191" t="n">
        <f>G8/D6</f>
        <v>0.0552472740000022</v>
      </c>
      <c r="I8" s="229" t="n">
        <f>H6/G6</f>
        <v>0.648790666666666</v>
      </c>
      <c r="J8" s="230" t="n">
        <f>SUM(G13:G18)/G6</f>
        <v>0.295962059333333</v>
      </c>
    </row>
    <row r="9" s="340" customFormat="1" ht="32" customHeight="1">
      <c r="A9" s="192" t="s">
        <v>64</v>
      </c>
      <c r="B9" s="193" t="s">
        <v>335</v>
      </c>
      <c r="C9" s="193"/>
      <c r="D9" s="193" t="s">
        <v>336</v>
      </c>
      <c r="E9" s="193" t="s">
        <v>337</v>
      </c>
      <c r="F9" s="185"/>
      <c r="G9" s="194" t="s">
        <v>338</v>
      </c>
      <c r="H9" s="195" t="s">
        <v>339</v>
      </c>
      <c r="I9" s="231" t="s">
        <v>340</v>
      </c>
      <c r="J9" s="232"/>
    </row>
    <row r="10" s="340" customFormat="1" ht="41.25" customHeight="1">
      <c r="A10" s="196" t="n">
        <v>1</v>
      </c>
      <c r="B10" s="197" t="s">
        <v>341</v>
      </c>
      <c r="C10" s="185"/>
      <c r="D10" s="198" t="s">
        <v>313</v>
      </c>
      <c r="E10" s="478" t="s">
        <v>342</v>
      </c>
      <c r="F10" s="185"/>
      <c r="G10" s="200" t="n">
        <v>0</v>
      </c>
      <c r="H10" s="201" t="n">
        <f>G10/1.06/$D$6</f>
        <v>0</v>
      </c>
      <c r="I10" s="233" t="s">
        <v>313</v>
      </c>
      <c r="J10" s="232"/>
    </row>
    <row r="11" s="340" customFormat="1" ht="43" customHeight="1">
      <c r="A11" s="202"/>
      <c r="B11" s="203" t="s">
        <v>322</v>
      </c>
      <c r="C11" s="204"/>
      <c r="D11" s="205" t="s">
        <v>313</v>
      </c>
      <c r="E11" s="206" t="s">
        <v>343</v>
      </c>
      <c r="F11" s="204"/>
      <c r="G11" s="207" t="n">
        <f>'附3-交付成本评估'!BF2+'附3-交付成本评估'!BL2+'附3-交付成本评估'!CB2+'附3-交付成本评估'!CH2</f>
        <v>0</v>
      </c>
      <c r="H11" s="208" t="n">
        <f>G11/$D$6</f>
        <v>0</v>
      </c>
      <c r="I11" s="234" t="s">
        <v>344</v>
      </c>
      <c r="J11" s="235"/>
    </row>
    <row r="12" s="340" customFormat="1" ht="40.5" customHeight="1">
      <c r="A12" s="209"/>
      <c r="B12" s="203" t="s">
        <v>327</v>
      </c>
      <c r="C12" s="204"/>
      <c r="D12" s="205" t="s">
        <v>313</v>
      </c>
      <c r="E12" s="206" t="s">
        <v>345</v>
      </c>
      <c r="F12" s="204"/>
      <c r="G12" s="207" t="n">
        <v>0</v>
      </c>
      <c r="H12" s="208" t="n">
        <f>G12/$D$6</f>
        <v>0</v>
      </c>
      <c r="I12" s="236" t="s">
        <v>346</v>
      </c>
      <c r="J12" s="235"/>
    </row>
    <row r="13" s="340" customFormat="1" ht="68.25" customHeight="1">
      <c r="A13" s="210" t="n">
        <v>2</v>
      </c>
      <c r="B13" s="197" t="s">
        <v>347</v>
      </c>
      <c r="C13" s="197" t="s">
        <v>348</v>
      </c>
      <c r="D13" s="198" t="s">
        <v>349</v>
      </c>
      <c r="E13" s="199" t="s">
        <v>350</v>
      </c>
      <c r="F13" s="185"/>
      <c r="G13" s="200" t="n">
        <f>(B6-E6)/10000*1727</f>
        <v>41448</v>
      </c>
      <c r="H13" s="201" t="n">
        <f>G13/$D$6</f>
        <v>0.183062</v>
      </c>
      <c r="I13" s="237" t="s">
        <v>351</v>
      </c>
      <c r="J13" s="238"/>
    </row>
    <row r="14" s="340" customFormat="1" ht="39" customHeight="1">
      <c r="A14" s="186"/>
      <c r="B14" s="185"/>
      <c r="C14" s="197" t="s">
        <v>352</v>
      </c>
      <c r="D14" s="198" t="s">
        <v>353</v>
      </c>
      <c r="E14" s="199" t="s">
        <v>354</v>
      </c>
      <c r="F14" s="185"/>
      <c r="G14" s="200" t="n">
        <v>5000</v>
      </c>
      <c r="H14" s="201" t="n">
        <f>G14/$D$6</f>
        <v>0.0220833333333333</v>
      </c>
      <c r="I14" s="239"/>
      <c r="J14" s="232"/>
    </row>
    <row r="15" s="340" customFormat="1" ht="39" customHeight="1">
      <c r="A15" s="186"/>
      <c r="B15" s="185"/>
      <c r="C15" s="185"/>
      <c r="D15" s="198" t="s">
        <v>355</v>
      </c>
      <c r="E15" s="199" t="s">
        <v>356</v>
      </c>
      <c r="F15" s="185"/>
      <c r="G15" s="200" t="n">
        <v>5000</v>
      </c>
      <c r="H15" s="201" t="n">
        <f>G15/$D$6</f>
        <v>0.0220833333333333</v>
      </c>
      <c r="I15" s="239"/>
      <c r="J15" s="232"/>
    </row>
    <row r="16" s="340" customFormat="1" ht="39" customHeight="1">
      <c r="A16" s="210"/>
      <c r="B16" s="197"/>
      <c r="C16" s="197"/>
      <c r="D16" s="198" t="s">
        <v>357</v>
      </c>
      <c r="E16" s="199" t="s">
        <v>358</v>
      </c>
      <c r="F16" s="185"/>
      <c r="G16" s="200"/>
      <c r="H16" s="201" t="n">
        <f>G16/$D$6</f>
        <v>0</v>
      </c>
      <c r="I16" s="239"/>
      <c r="J16" s="232"/>
    </row>
    <row r="17" s="340" customFormat="1" ht="39" customHeight="1">
      <c r="A17" s="210"/>
      <c r="B17" s="197"/>
      <c r="C17" s="197"/>
      <c r="D17" s="198" t="s">
        <v>359</v>
      </c>
      <c r="E17" s="211" t="s">
        <v>360</v>
      </c>
      <c r="F17" s="185"/>
      <c r="G17" s="200" t="n">
        <f>D6*1%</f>
        <v>2264.15094339623</v>
      </c>
      <c r="H17" s="201" t="n">
        <f>G17/$D$6</f>
        <v>0.01</v>
      </c>
      <c r="I17" s="239"/>
      <c r="J17" s="232"/>
    </row>
    <row r="18" s="340" customFormat="1" ht="45.75" customHeight="1">
      <c r="A18" s="186"/>
      <c r="B18" s="185"/>
      <c r="C18" s="185"/>
      <c r="D18" s="212" t="s">
        <v>361</v>
      </c>
      <c r="E18" s="213" t="s">
        <v>362</v>
      </c>
      <c r="F18" s="344"/>
      <c r="G18" s="214" t="n">
        <f>E8*7.7%</f>
        <v>13298.1266415095</v>
      </c>
      <c r="H18" s="215" t="n">
        <f>G18/$D$6</f>
        <v>0.0587333926666669</v>
      </c>
      <c r="I18" s="240" t="s">
        <v>363</v>
      </c>
      <c r="J18" s="232"/>
    </row>
    <row r="19" s="340" customFormat="1" ht="64.5" customHeight="1">
      <c r="A19" s="210" t="n">
        <v>3</v>
      </c>
      <c r="B19" s="197" t="s">
        <v>364</v>
      </c>
      <c r="C19" s="197" t="s">
        <v>348</v>
      </c>
      <c r="D19" s="198" t="s">
        <v>349</v>
      </c>
      <c r="E19" s="199" t="s">
        <v>365</v>
      </c>
      <c r="F19" s="185"/>
      <c r="G19" s="200" t="n">
        <f>'附3-交付成本评估'!P2+'附3-交付成本评估'!BW2</f>
        <v>66144</v>
      </c>
      <c r="H19" s="201" t="n">
        <f>G19/$D$6</f>
        <v>0.292136</v>
      </c>
      <c r="I19" s="241" t="s">
        <v>366</v>
      </c>
      <c r="J19" s="232"/>
      <c r="K19" s="340" t="n">
        <f>G19/1696</f>
        <v>39</v>
      </c>
    </row>
    <row r="20" s="340" customFormat="1" ht="61.5" customHeight="1">
      <c r="A20" s="186"/>
      <c r="B20" s="185"/>
      <c r="C20" s="216"/>
      <c r="D20" s="198" t="s">
        <v>367</v>
      </c>
      <c r="E20" s="396" t="s">
        <v>368</v>
      </c>
      <c r="F20" s="344"/>
      <c r="G20" s="200"/>
      <c r="H20" s="201" t="n">
        <f>G20/$D$6</f>
        <v>0</v>
      </c>
      <c r="I20" s="241" t="s">
        <v>369</v>
      </c>
      <c r="J20" s="232"/>
    </row>
    <row r="21" s="340" customFormat="1" ht="41.25" customHeight="1">
      <c r="A21" s="186"/>
      <c r="B21" s="185"/>
      <c r="C21" s="203" t="s">
        <v>370</v>
      </c>
      <c r="D21" s="205" t="s">
        <v>371</v>
      </c>
      <c r="E21" s="206" t="s">
        <v>372</v>
      </c>
      <c r="F21" s="204"/>
      <c r="G21" s="207" t="n">
        <f>'附3-交付成本评估'!BD2+'附3-交付成本评估'!BK2+'附3-交付成本评估'!BZ2+'附3-交付成本评估'!CG2</f>
        <v>58880</v>
      </c>
      <c r="H21" s="208" t="n">
        <f>G21/$D$6</f>
        <v>0.260053333333333</v>
      </c>
      <c r="I21" s="234" t="s">
        <v>373</v>
      </c>
      <c r="J21" s="235"/>
    </row>
    <row r="22" s="340" customFormat="1" ht="41.25" customHeight="1">
      <c r="A22" s="186"/>
      <c r="B22" s="185"/>
      <c r="C22" s="197" t="s">
        <v>374</v>
      </c>
      <c r="D22" s="198" t="s">
        <v>353</v>
      </c>
      <c r="E22" s="199" t="s">
        <v>375</v>
      </c>
      <c r="F22" s="185"/>
      <c r="G22" s="200" t="n">
        <f>'附3-交付成本评估'!BJ2+'附3-交付成本评估'!CF2</f>
        <v>3000</v>
      </c>
      <c r="H22" s="201" t="n">
        <f>G22/$D$6</f>
        <v>0.01325</v>
      </c>
      <c r="I22" s="239"/>
      <c r="J22" s="232"/>
    </row>
    <row r="23" s="340" customFormat="1" ht="35" customHeight="1">
      <c r="A23" s="186"/>
      <c r="B23" s="185"/>
      <c r="C23" s="197" t="s">
        <v>376</v>
      </c>
      <c r="D23" s="198" t="s">
        <v>349</v>
      </c>
      <c r="E23" s="199" t="s">
        <v>377</v>
      </c>
      <c r="F23" s="185"/>
      <c r="G23" s="200" t="n">
        <f>'附3-交付成本评估'!X2+'附3-交付成本评估'!BT2</f>
        <v>11872</v>
      </c>
      <c r="H23" s="201" t="n">
        <f>G23/$D$6</f>
        <v>0.0524346666666666</v>
      </c>
      <c r="I23" s="239" t="s">
        <v>378</v>
      </c>
      <c r="J23" s="232"/>
    </row>
    <row r="24" s="340" customFormat="1" ht="35.25" customHeight="1">
      <c r="A24" s="186"/>
      <c r="B24" s="185"/>
      <c r="C24" s="185"/>
      <c r="D24" s="198" t="s">
        <v>379</v>
      </c>
      <c r="E24" s="199" t="s">
        <v>379</v>
      </c>
      <c r="F24" s="185"/>
      <c r="G24" s="200" t="n">
        <v>5000</v>
      </c>
      <c r="H24" s="201" t="n">
        <f>G24/$D$6</f>
        <v>0.0220833333333333</v>
      </c>
      <c r="I24" s="239" t="s">
        <v>380</v>
      </c>
      <c r="J24" s="232"/>
    </row>
    <row r="25" s="340" customFormat="1" ht="32.25" customHeight="1">
      <c r="A25" s="186"/>
      <c r="B25" s="185"/>
      <c r="C25" s="185"/>
      <c r="D25" s="198" t="s">
        <v>355</v>
      </c>
      <c r="E25" s="199" t="s">
        <v>381</v>
      </c>
      <c r="F25" s="185"/>
      <c r="G25" s="200" t="n">
        <v>1000</v>
      </c>
      <c r="H25" s="201" t="n">
        <f>G25/$D$6</f>
        <v>0.00441666666666666</v>
      </c>
      <c r="I25" s="239"/>
      <c r="J25" s="232"/>
    </row>
    <row r="26" s="340" customFormat="1" ht="32.25" customHeight="1">
      <c r="A26" s="186"/>
      <c r="B26" s="185"/>
      <c r="C26" s="185"/>
      <c r="D26" s="198" t="s">
        <v>382</v>
      </c>
      <c r="E26" s="199" t="s">
        <v>383</v>
      </c>
      <c r="F26" s="185"/>
      <c r="G26" s="200"/>
      <c r="H26" s="201" t="n">
        <f>G26/$D$6</f>
        <v>0</v>
      </c>
      <c r="I26" s="239"/>
      <c r="J26" s="232"/>
    </row>
    <row r="27" s="340" customFormat="1" ht="45" customHeight="1">
      <c r="A27" s="186"/>
      <c r="B27" s="185"/>
      <c r="C27" s="185"/>
      <c r="D27" s="198" t="s">
        <v>384</v>
      </c>
      <c r="E27" s="199" t="s">
        <v>385</v>
      </c>
      <c r="F27" s="185"/>
      <c r="G27" s="200" t="n">
        <v>1000</v>
      </c>
      <c r="H27" s="201" t="n">
        <f>G27/$D$6</f>
        <v>0.00441666666666666</v>
      </c>
      <c r="I27" s="241"/>
      <c r="J27" s="242"/>
    </row>
    <row r="28" s="340" customFormat="1" ht="32" customHeight="1">
      <c r="A28" s="186"/>
      <c r="B28" s="185"/>
      <c r="C28" s="185"/>
      <c r="D28" s="198" t="s">
        <v>386</v>
      </c>
      <c r="E28" s="211" t="s">
        <v>387</v>
      </c>
      <c r="F28" s="185"/>
      <c r="G28" s="200"/>
      <c r="H28" s="201" t="n">
        <f>G28/$D$6</f>
        <v>0</v>
      </c>
      <c r="I28" s="239"/>
      <c r="J28" s="232"/>
    </row>
    <row r="29" s="340" customFormat="1" ht="27.95" customHeight="1">
      <c r="A29" s="217" t="s">
        <v>388</v>
      </c>
      <c r="B29" s="218"/>
      <c r="C29" s="219"/>
      <c r="D29" s="220"/>
      <c r="E29" s="218" t="s">
        <v>389</v>
      </c>
      <c r="F29" s="219"/>
      <c r="G29" s="221"/>
      <c r="H29" s="222"/>
      <c r="I29" s="222"/>
      <c r="J29" s="243"/>
    </row>
    <row r="30" s="340" customFormat="1" ht="52.5" customHeight="1">
      <c r="A30" s="223" t="s">
        <v>390</v>
      </c>
      <c r="B30" s="219"/>
      <c r="C30" s="219"/>
      <c r="D30" s="219"/>
      <c r="E30" s="219"/>
      <c r="F30" s="219"/>
      <c r="G30" s="219"/>
      <c r="H30" s="219"/>
      <c r="I30" s="219"/>
      <c r="J30" s="244"/>
    </row>
  </sheetData>
  <mergeCells count="62">
    <mergeCell ref="I17:J17"/>
    <mergeCell ref="E14:F14"/>
    <mergeCell ref="B19:B28"/>
    <mergeCell ref="I26:J26"/>
    <mergeCell ref="C23:C28"/>
    <mergeCell ref="B6:C6"/>
    <mergeCell ref="I21:J21"/>
    <mergeCell ref="I13:J13"/>
    <mergeCell ref="B12:C12"/>
    <mergeCell ref="I14:J14"/>
    <mergeCell ref="I18:J18"/>
    <mergeCell ref="A30:J30"/>
    <mergeCell ref="I24:J24"/>
    <mergeCell ref="I12:J12"/>
    <mergeCell ref="E18:F18"/>
    <mergeCell ref="I9:J9"/>
    <mergeCell ref="E13:F13"/>
    <mergeCell ref="B13:B18"/>
    <mergeCell ref="I25:J25"/>
    <mergeCell ref="I20:J20"/>
    <mergeCell ref="E26:F26"/>
    <mergeCell ref="B5:C5"/>
    <mergeCell ref="B10:C10"/>
    <mergeCell ref="E22:F22"/>
    <mergeCell ref="C14:C18"/>
    <mergeCell ref="B7:C7"/>
    <mergeCell ref="E23:F23"/>
    <mergeCell ref="A5:A6"/>
    <mergeCell ref="E24:F24"/>
    <mergeCell ref="E25:F25"/>
    <mergeCell ref="A7:A8"/>
    <mergeCell ref="E27:F27"/>
    <mergeCell ref="E9:F9"/>
    <mergeCell ref="I16:J16"/>
    <mergeCell ref="E10:F10"/>
    <mergeCell ref="E21:F21"/>
    <mergeCell ref="I15:J15"/>
    <mergeCell ref="A10:A12"/>
    <mergeCell ref="I28:J28"/>
    <mergeCell ref="A1:J1"/>
    <mergeCell ref="A13:A18"/>
    <mergeCell ref="B11:C11"/>
    <mergeCell ref="E20:F20"/>
    <mergeCell ref="E15:F15"/>
    <mergeCell ref="I27:J27"/>
    <mergeCell ref="E11:F11"/>
    <mergeCell ref="I11:J11"/>
    <mergeCell ref="E28:F28"/>
    <mergeCell ref="I10:J10"/>
    <mergeCell ref="E17:F17"/>
    <mergeCell ref="E12:F12"/>
    <mergeCell ref="A19:A28"/>
    <mergeCell ref="B8:C8"/>
    <mergeCell ref="E29:F29"/>
    <mergeCell ref="C19:C20"/>
    <mergeCell ref="B29:D29"/>
    <mergeCell ref="I22:J22"/>
    <mergeCell ref="E19:F19"/>
    <mergeCell ref="I19:J19"/>
    <mergeCell ref="I23:J23"/>
    <mergeCell ref="B9:C9"/>
    <mergeCell ref="E16:F16"/>
  </mergeCells>
  <phoneticPr fontId="1" type="noConversion"/>
  <dataValidations count="3">
    <dataValidation type="list" allowBlank="1" showInputMessage="1" showErrorMessage="1" prompt="㧐禵_x0002_" sqref="H4">
      <formula1>"提前投入,投标决策,合同交付,项目运维"</formula1>
    </dataValidation>
    <dataValidation type="list" allowBlank="1" showInputMessage="1" showErrorMessage="1" prompt="㧐禵_x0002_" sqref="J4">
      <formula1>"/,0.7,1,1.3"</formula1>
    </dataValidation>
    <dataValidation type="list" allowBlank="1" showInputMessage="1" showErrorMessage="1" prompt="㧐禵_x0002_" sqref="B3">
      <formula1>"华南营销处,华北营销处"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="70" zoomScaleNormal="70">
      <pane topLeftCell="G1" activePane="bottomRight" state="frozen" xSplit="6"/>
    </sheetView>
  </sheetViews>
  <sheetFormatPr baseColWidth="10" defaultColWidth="8.8330078125" defaultRowHeight="15" customHeight="1"/>
  <cols>
    <col min="1" max="1" width="4.998046875" customWidth="1" style="7"/>
    <col min="2" max="2" width="7.6640625" customWidth="1" style="7"/>
    <col min="3" max="3" width="14.1650390625" customWidth="1" style="7"/>
    <col min="4" max="4" width="17.33203125" customWidth="1" style="7"/>
    <col min="5" max="5" width="57.6240234375" customWidth="1" style="7"/>
    <col min="6" max="6" width="22.3330078125" customWidth="1" style="7"/>
    <col min="7" max="7" width="9.3310546875" customWidth="1" style="7"/>
    <col min="8" max="8" width="12.9990234375" customWidth="1" style="7"/>
    <col min="9" max="9" width="13.6640625" customWidth="1" style="8"/>
    <col min="10" max="10" width="12.9990234375" customWidth="1" style="8"/>
    <col min="11" max="11" width="9.1640625" customWidth="1" style="8"/>
    <col min="12" max="12" width="10.166015625" customWidth="1" style="8"/>
    <col min="13" max="13" width="11.666015625" customWidth="1" style="8"/>
    <col min="14" max="14" width="10.5908203125" style="8"/>
    <col min="15" max="22" width="10.125" style="8"/>
    <col min="23" max="23" width="8.1650390625" customWidth="1" style="8"/>
    <col min="24" max="24" width="11.4990234375" customWidth="1" style="8"/>
    <col min="25" max="38" width="8.1650390625" hidden="1" customWidth="1" style="8"/>
    <col min="39" max="39" width="14.4990234375" hidden="1" customWidth="1" style="8"/>
    <col min="40" max="40" width="8.1650390625" hidden="1" customWidth="1" style="8"/>
    <col min="41" max="44" width="9.6650390625" hidden="1" customWidth="1" style="8"/>
    <col min="45" max="48" width="8.1650390625" customWidth="1" style="8"/>
    <col min="49" max="52" width="8.1650390625" hidden="1" customWidth="1" style="8"/>
    <col min="53" max="53" width="10.8310546875" hidden="1" customWidth="1" style="8"/>
    <col min="54" max="54" width="8.1650390625" hidden="1" customWidth="1" style="8"/>
    <col min="55" max="56" width="8.8330078125" customWidth="1" style="8"/>
    <col min="57" max="58" width="8.8330078125" hidden="1" customWidth="1" style="8"/>
    <col min="59" max="59" width="16.3330078125" customWidth="1" style="7"/>
    <col min="60" max="60" width="17.8330078125" customWidth="1" style="7"/>
    <col min="61" max="62" width="14.0302734375" style="7"/>
    <col min="63" max="63" width="14.625" style="7"/>
    <col min="64" max="64" width="15.1640625" customWidth="1" style="7"/>
    <col min="65" max="65" width="15.498046875" customWidth="1" style="7"/>
    <col min="66" max="66" width="11.4990234375" customWidth="1" style="8"/>
    <col min="67" max="67" width="8.8330078125" customWidth="1" style="8"/>
    <col min="68" max="68" width="10.3330078125" customWidth="1" style="8"/>
    <col min="69" max="69" width="12.83203125" customWidth="1" style="8"/>
    <col min="70" max="70" width="19.5" customWidth="1" style="8"/>
    <col min="71" max="72" width="10.166015625" customWidth="1" style="8"/>
    <col min="73" max="76" width="8.8330078125" customWidth="1" style="8"/>
    <col min="77" max="78" width="8.666015625" customWidth="1" style="8"/>
    <col min="79" max="80" width="10.166015625" customWidth="1" style="8"/>
    <col min="81" max="81" width="14.666015625" customWidth="1" style="7"/>
    <col min="82" max="82" width="19.3330078125" customWidth="1" style="7"/>
    <col min="83" max="83" width="14.1650390625" customWidth="1" style="7"/>
    <col min="84" max="84" width="15.9990234375" customWidth="1" style="7"/>
    <col min="85" max="85" width="14.666015625" customWidth="1" style="7"/>
    <col min="86" max="86" width="14.8330078125" customWidth="1" style="7"/>
    <col min="87" max="87" width="31.998046875" customWidth="1" style="7"/>
    <col min="88" max="88" width="9.1640625" customWidth="1" style="7"/>
    <col min="89" max="89" width="10.5" customWidth="1" style="7"/>
    <col min="90" max="90" width="14.8330078125" customWidth="1" style="7"/>
  </cols>
  <sheetData>
    <row r="1" ht="50" customHeight="1">
      <c r="A1" s="10" t="s">
        <v>391</v>
      </c>
      <c r="B1" s="10"/>
      <c r="C1" s="10"/>
      <c r="D1" s="10"/>
      <c r="E1" s="10"/>
      <c r="F1" s="10"/>
      <c r="G1" s="10"/>
      <c r="H1" s="10"/>
      <c r="I1" s="131"/>
      <c r="J1" s="10"/>
      <c r="K1" s="10"/>
      <c r="L1" s="10"/>
      <c r="M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</row>
    <row r="2" s="6" customFormat="1" ht="35.25" customHeight="1">
      <c r="A2" s="125" t="s">
        <v>392</v>
      </c>
      <c r="B2" s="20"/>
      <c r="C2" s="20"/>
      <c r="D2" s="20"/>
      <c r="E2" s="20"/>
      <c r="F2" s="126"/>
      <c r="G2" s="20"/>
      <c r="H2" s="20"/>
      <c r="I2" s="68"/>
      <c r="J2" s="43" t="n">
        <f>SUM(J5:J15)</f>
        <v>0</v>
      </c>
      <c r="K2" s="43" t="n">
        <f>SUM(K5:K15)</f>
        <v>0</v>
      </c>
      <c r="L2" s="43" t="n">
        <f>SUM(L5:L15)</f>
        <v>0</v>
      </c>
      <c r="M2" s="43" t="n">
        <f>SUM(M5:M15)</f>
        <v>0</v>
      </c>
      <c r="N2" s="43" t="n">
        <f>SUM(N5:N15)</f>
        <v>133504</v>
      </c>
      <c r="O2" s="43" t="n">
        <f>SUM(O5:O15)</f>
        <v>8480</v>
      </c>
      <c r="P2" s="43" t="n">
        <f>SUM(P5:P15)</f>
        <v>66144</v>
      </c>
      <c r="Q2" s="43" t="n">
        <f>SUM(Q5:Q15)</f>
        <v>0</v>
      </c>
      <c r="R2" s="43" t="n">
        <f>SUM(R5:R15)</f>
        <v>58880</v>
      </c>
      <c r="S2" s="43" t="n">
        <f>SUM(S5:S15)</f>
        <v>5</v>
      </c>
      <c r="T2" s="43" t="n">
        <f>SUM(T5:T15)</f>
        <v>39</v>
      </c>
      <c r="U2" s="43" t="n">
        <f>SUM(U5:U15)</f>
        <v>0</v>
      </c>
      <c r="V2" s="43" t="n">
        <f>SUM(V5:V15)</f>
        <v>184</v>
      </c>
      <c r="W2" s="45" t="n">
        <f>SUM(W5:W15)</f>
        <v>5</v>
      </c>
      <c r="X2" s="45" t="n">
        <f>SUM(X5:X15)</f>
        <v>8480</v>
      </c>
      <c r="Y2" s="143" t="n">
        <f>SUM(Y5:Y15)</f>
        <v>0</v>
      </c>
      <c r="Z2" s="143" t="n">
        <f>SUM(Z5:Z15)</f>
        <v>0</v>
      </c>
      <c r="AA2" s="143" t="n">
        <f>SUM(AA5:AA15)</f>
        <v>0</v>
      </c>
      <c r="AB2" s="143" t="n">
        <f>SUM(AB5:AB15)</f>
        <v>0</v>
      </c>
      <c r="AC2" s="143" t="n">
        <f>SUM(AC5:AC15)</f>
        <v>0</v>
      </c>
      <c r="AD2" s="143" t="n">
        <f>SUM(AD5:AD15)</f>
        <v>0</v>
      </c>
      <c r="AE2" s="143" t="n">
        <f>SUM(AE5:AE15)</f>
        <v>0</v>
      </c>
      <c r="AF2" s="143" t="n">
        <f>SUM(AF5:AF15)</f>
        <v>0</v>
      </c>
      <c r="AG2" s="143" t="n">
        <f>SUM(AG5:AG15)</f>
        <v>0</v>
      </c>
      <c r="AH2" s="143" t="n">
        <f>SUM(AH5:AH15)</f>
        <v>0</v>
      </c>
      <c r="AI2" s="143" t="n">
        <f>SUM(AI5:AI15)</f>
        <v>0</v>
      </c>
      <c r="AJ2" s="143" t="n">
        <f>SUM(AJ5:AJ15)</f>
        <v>0</v>
      </c>
      <c r="AK2" s="143" t="n">
        <f>SUM(AK5:AK15)</f>
        <v>0</v>
      </c>
      <c r="AL2" s="143" t="n">
        <f>SUM(AL5:AL15)</f>
        <v>0</v>
      </c>
      <c r="AM2" s="143" t="n">
        <f>SUM(AM5:AM15)</f>
        <v>0</v>
      </c>
      <c r="AN2" s="143" t="n">
        <f>SUM(AN5:AN15)</f>
        <v>0</v>
      </c>
      <c r="AO2" s="143" t="n">
        <f>SUM(AO5:AO15)</f>
        <v>0</v>
      </c>
      <c r="AP2" s="143" t="n">
        <f>SUM(AP5:AP15)</f>
        <v>0</v>
      </c>
      <c r="AQ2" s="143" t="n">
        <f>SUM(AQ5:AQ15)</f>
        <v>0</v>
      </c>
      <c r="AR2" s="143" t="n">
        <f>SUM(AR5:AR15)</f>
        <v>0</v>
      </c>
      <c r="AS2" s="143" t="n">
        <f>SUM(AS5:AS15)</f>
        <v>39</v>
      </c>
      <c r="AT2" s="143" t="n">
        <f>SUM(AT5:AT15)</f>
        <v>0</v>
      </c>
      <c r="AU2" s="143" t="n">
        <f>SUM(AU5:AU15)</f>
        <v>66144</v>
      </c>
      <c r="AV2" s="143" t="n">
        <f>SUM(AV5:AV15)</f>
        <v>0</v>
      </c>
      <c r="AW2" s="143" t="n">
        <f>SUM(AW5:AW15)</f>
        <v>0</v>
      </c>
      <c r="AX2" s="143" t="n">
        <f>SUM(AX5:AX15)</f>
        <v>0</v>
      </c>
      <c r="AY2" s="143" t="n">
        <f>SUM(AY5:AY15)</f>
        <v>0</v>
      </c>
      <c r="AZ2" s="143" t="n">
        <f>SUM(AZ5:AZ15)</f>
        <v>0</v>
      </c>
      <c r="BA2" s="143" t="n">
        <f>SUM(BA5:BA15)</f>
        <v>0</v>
      </c>
      <c r="BB2" s="143" t="n">
        <f>SUM(BB5:BB15)</f>
        <v>0</v>
      </c>
      <c r="BC2" s="143" t="n">
        <f>SUM(BC5:BC15)</f>
        <v>184</v>
      </c>
      <c r="BD2" s="143" t="n">
        <f>SUM(BD5:BD15)</f>
        <v>58880</v>
      </c>
      <c r="BE2" s="143" t="n">
        <f>SUM(BE5:BE15)</f>
        <v>0</v>
      </c>
      <c r="BF2" s="143" t="n">
        <f>SUM(BF5:BF15)</f>
        <v>0</v>
      </c>
      <c r="BG2" s="60" t="n">
        <f>SUM(BG5:BG15)</f>
        <v>6000</v>
      </c>
      <c r="BH2" s="45" t="n">
        <f>SUM(BH5:BH15)</f>
        <v>3000</v>
      </c>
      <c r="BI2" s="45" t="n">
        <f>SUM(BI5:BI15)</f>
        <v>0</v>
      </c>
      <c r="BJ2" s="45" t="n">
        <f>SUM(BJ5:BJ15)</f>
        <v>3000</v>
      </c>
      <c r="BK2" s="45" t="n">
        <f>SUM(BK5:BK15)</f>
        <v>0</v>
      </c>
      <c r="BL2" s="45" t="n">
        <f>SUM(BL5:BL15)</f>
        <v>0</v>
      </c>
      <c r="BM2" s="160"/>
      <c r="BN2" s="43" t="n">
        <f>SUM(BN5:BN15)</f>
        <v>0</v>
      </c>
      <c r="BO2" s="43" t="n">
        <f>SUM(BO5:BO15)</f>
        <v>0</v>
      </c>
      <c r="BP2" s="43" t="n">
        <f>SUM(BP5:BP15)</f>
        <v>0</v>
      </c>
      <c r="BQ2" s="43" t="n">
        <f>SUM(BQ5:BQ15)</f>
        <v>0</v>
      </c>
      <c r="BR2" s="60" t="n">
        <f>SUM(BR5:BR15)</f>
        <v>3392</v>
      </c>
      <c r="BS2" s="45" t="n">
        <f>SUM(BS5:BS15)</f>
        <v>2</v>
      </c>
      <c r="BT2" s="45" t="n">
        <f>SUM(BT5:BT15)</f>
        <v>3392</v>
      </c>
      <c r="BU2" s="45" t="n">
        <f>SUM(BU5:BU15)</f>
        <v>0</v>
      </c>
      <c r="BV2" s="45" t="n">
        <f>SUM(BV5:BV15)</f>
        <v>0</v>
      </c>
      <c r="BW2" s="45" t="n">
        <f>SUM(BW5:BW15)</f>
        <v>0</v>
      </c>
      <c r="BX2" s="45" t="n">
        <f>SUM(BX5:BX15)</f>
        <v>0</v>
      </c>
      <c r="BY2" s="45" t="n">
        <f>SUM(BY5:BY15)</f>
        <v>0</v>
      </c>
      <c r="BZ2" s="45" t="n">
        <f>SUM(BZ5:BZ15)</f>
        <v>0</v>
      </c>
      <c r="CA2" s="45" t="n">
        <f>SUM(CA5:CA15)</f>
        <v>0</v>
      </c>
      <c r="CB2" s="45" t="n">
        <f>SUM(CB5:CB15)</f>
        <v>0</v>
      </c>
      <c r="CC2" s="60" t="n">
        <f>SUM(CC5:CC15)</f>
        <v>0</v>
      </c>
      <c r="CD2" s="45" t="n">
        <f>SUM(CD5:CD15)</f>
        <v>0</v>
      </c>
      <c r="CE2" s="45" t="n">
        <f>SUM(CE5:CE15)</f>
        <v>0</v>
      </c>
      <c r="CF2" s="45" t="n">
        <f>SUM(CF5:CF15)</f>
        <v>0</v>
      </c>
      <c r="CG2" s="45" t="n">
        <f>SUM(CG5:CG15)</f>
        <v>0</v>
      </c>
      <c r="CH2" s="45" t="n">
        <f>SUM(CH5:CH15)</f>
        <v>0</v>
      </c>
      <c r="CI2" s="68"/>
      <c r="CJ2" s="60" t="n">
        <f>SUM(CJ5:CJ15)</f>
        <v>0</v>
      </c>
      <c r="CK2" s="60" t="n">
        <f>SUM(CK5:CK15)</f>
        <v>0</v>
      </c>
      <c r="CL2" s="169"/>
    </row>
    <row r="3" ht="45" customHeight="1">
      <c r="A3" s="22" t="s">
        <v>64</v>
      </c>
      <c r="B3" s="23" t="s">
        <v>393</v>
      </c>
      <c r="C3" s="24"/>
      <c r="D3" s="24"/>
      <c r="E3" s="24"/>
      <c r="F3" s="24"/>
      <c r="G3" s="24"/>
      <c r="H3" s="24"/>
      <c r="I3" s="132" t="s">
        <v>394</v>
      </c>
      <c r="J3" s="133" t="s">
        <v>395</v>
      </c>
      <c r="K3" s="47"/>
      <c r="L3" s="47"/>
      <c r="M3" s="48"/>
      <c r="N3" s="133" t="s">
        <v>396</v>
      </c>
      <c r="O3" s="48"/>
      <c r="P3" s="48"/>
      <c r="Q3" s="48"/>
      <c r="R3" s="48"/>
      <c r="S3" s="47"/>
      <c r="T3" s="48"/>
      <c r="U3" s="48"/>
      <c r="V3" s="139"/>
      <c r="W3" s="140" t="s">
        <v>397</v>
      </c>
      <c r="X3" s="71"/>
      <c r="Y3" s="144" t="s">
        <v>398</v>
      </c>
      <c r="Z3" s="24"/>
      <c r="AA3" s="145"/>
      <c r="AB3" s="24"/>
      <c r="AC3" s="144" t="s">
        <v>399</v>
      </c>
      <c r="AD3" s="24"/>
      <c r="AE3" s="145"/>
      <c r="AF3" s="24"/>
      <c r="AG3" s="149" t="s">
        <v>400</v>
      </c>
      <c r="AH3" s="24"/>
      <c r="AI3" s="150"/>
      <c r="AJ3" s="24"/>
      <c r="AK3" s="149" t="s">
        <v>401</v>
      </c>
      <c r="AL3" s="24"/>
      <c r="AM3" s="150"/>
      <c r="AN3" s="24"/>
      <c r="AO3" s="149" t="s">
        <v>402</v>
      </c>
      <c r="AP3" s="24"/>
      <c r="AQ3" s="150"/>
      <c r="AR3" s="24"/>
      <c r="AS3" s="144" t="s">
        <v>403</v>
      </c>
      <c r="AT3" s="24"/>
      <c r="AU3" s="145"/>
      <c r="AV3" s="24"/>
      <c r="AW3" s="144" t="s">
        <v>404</v>
      </c>
      <c r="AX3" s="24"/>
      <c r="AY3" s="144" t="s">
        <v>405</v>
      </c>
      <c r="AZ3" s="24"/>
      <c r="BA3" s="145"/>
      <c r="BB3" s="152"/>
      <c r="BC3" s="140" t="s">
        <v>406</v>
      </c>
      <c r="BD3" s="153"/>
      <c r="BE3" s="140" t="s">
        <v>407</v>
      </c>
      <c r="BF3" s="153"/>
      <c r="BG3" s="156" t="s">
        <v>408</v>
      </c>
      <c r="BH3" s="25"/>
      <c r="BI3" s="25"/>
      <c r="BJ3" s="25"/>
      <c r="BK3" s="25"/>
      <c r="BL3" s="156"/>
      <c r="BM3" s="161" t="s">
        <v>409</v>
      </c>
      <c r="BN3" s="46" t="s">
        <v>410</v>
      </c>
      <c r="BO3" s="47"/>
      <c r="BP3" s="47"/>
      <c r="BQ3" s="48"/>
      <c r="BR3" s="49" t="s">
        <v>411</v>
      </c>
      <c r="BS3" s="50" t="s">
        <v>412</v>
      </c>
      <c r="BT3" s="25"/>
      <c r="BU3" s="50" t="s">
        <v>413</v>
      </c>
      <c r="BV3" s="25"/>
      <c r="BW3" s="25"/>
      <c r="BX3" s="25"/>
      <c r="BY3" s="50" t="s">
        <v>414</v>
      </c>
      <c r="BZ3" s="25"/>
      <c r="CA3" s="50" t="s">
        <v>415</v>
      </c>
      <c r="CB3" s="25"/>
      <c r="CC3" s="61" t="s">
        <v>416</v>
      </c>
      <c r="CD3" s="25"/>
      <c r="CE3" s="25"/>
      <c r="CF3" s="25"/>
      <c r="CG3" s="25"/>
      <c r="CH3" s="25"/>
      <c r="CI3" s="69" t="s">
        <v>417</v>
      </c>
      <c r="CJ3" s="164" t="s">
        <v>418</v>
      </c>
      <c r="CK3" s="25"/>
      <c r="CL3" s="25"/>
    </row>
    <row r="4" s="122" customFormat="1" ht="44.25" customHeight="1">
      <c r="A4" s="25"/>
      <c r="B4" s="26" t="s">
        <v>419</v>
      </c>
      <c r="C4" s="27" t="s">
        <v>420</v>
      </c>
      <c r="D4" s="28" t="s">
        <v>421</v>
      </c>
      <c r="E4" s="28" t="s">
        <v>422</v>
      </c>
      <c r="F4" s="27" t="s">
        <v>423</v>
      </c>
      <c r="G4" s="27" t="s">
        <v>424</v>
      </c>
      <c r="H4" s="28" t="s">
        <v>425</v>
      </c>
      <c r="I4" s="134" t="s">
        <v>426</v>
      </c>
      <c r="J4" s="135" t="s">
        <v>427</v>
      </c>
      <c r="K4" s="135" t="s">
        <v>428</v>
      </c>
      <c r="L4" s="135" t="s">
        <v>429</v>
      </c>
      <c r="M4" s="135" t="s">
        <v>430</v>
      </c>
      <c r="N4" s="135" t="s">
        <v>431</v>
      </c>
      <c r="O4" s="135" t="s">
        <v>432</v>
      </c>
      <c r="P4" s="135" t="s">
        <v>433</v>
      </c>
      <c r="Q4" s="135" t="s">
        <v>434</v>
      </c>
      <c r="R4" s="135" t="s">
        <v>435</v>
      </c>
      <c r="S4" s="135" t="s">
        <v>436</v>
      </c>
      <c r="T4" s="135" t="s">
        <v>437</v>
      </c>
      <c r="U4" s="135" t="s">
        <v>438</v>
      </c>
      <c r="V4" s="135" t="s">
        <v>439</v>
      </c>
      <c r="W4" s="141" t="s">
        <v>440</v>
      </c>
      <c r="X4" s="141" t="s">
        <v>441</v>
      </c>
      <c r="Y4" s="146" t="s">
        <v>442</v>
      </c>
      <c r="Z4" s="146" t="s">
        <v>443</v>
      </c>
      <c r="AA4" s="146" t="s">
        <v>444</v>
      </c>
      <c r="AB4" s="146" t="s">
        <v>445</v>
      </c>
      <c r="AC4" s="146" t="s">
        <v>446</v>
      </c>
      <c r="AD4" s="146" t="s">
        <v>447</v>
      </c>
      <c r="AE4" s="146" t="s">
        <v>448</v>
      </c>
      <c r="AF4" s="146" t="s">
        <v>449</v>
      </c>
      <c r="AG4" s="146" t="s">
        <v>450</v>
      </c>
      <c r="AH4" s="146" t="s">
        <v>451</v>
      </c>
      <c r="AI4" s="146" t="s">
        <v>452</v>
      </c>
      <c r="AJ4" s="146" t="s">
        <v>453</v>
      </c>
      <c r="AK4" s="146" t="s">
        <v>454</v>
      </c>
      <c r="AL4" s="146" t="s">
        <v>455</v>
      </c>
      <c r="AM4" s="146" t="s">
        <v>456</v>
      </c>
      <c r="AN4" s="146" t="s">
        <v>457</v>
      </c>
      <c r="AO4" s="146" t="s">
        <v>458</v>
      </c>
      <c r="AP4" s="146" t="s">
        <v>459</v>
      </c>
      <c r="AQ4" s="146" t="s">
        <v>460</v>
      </c>
      <c r="AR4" s="146" t="s">
        <v>461</v>
      </c>
      <c r="AS4" s="146" t="s">
        <v>462</v>
      </c>
      <c r="AT4" s="146" t="s">
        <v>463</v>
      </c>
      <c r="AU4" s="146" t="s">
        <v>464</v>
      </c>
      <c r="AV4" s="146" t="s">
        <v>465</v>
      </c>
      <c r="AW4" s="146" t="s">
        <v>466</v>
      </c>
      <c r="AX4" s="146" t="s">
        <v>467</v>
      </c>
      <c r="AY4" s="146" t="s">
        <v>468</v>
      </c>
      <c r="AZ4" s="146" t="s">
        <v>469</v>
      </c>
      <c r="BA4" s="146" t="s">
        <v>470</v>
      </c>
      <c r="BB4" s="154" t="s">
        <v>471</v>
      </c>
      <c r="BC4" s="141" t="s">
        <v>472</v>
      </c>
      <c r="BD4" s="155" t="s">
        <v>473</v>
      </c>
      <c r="BE4" s="157" t="s">
        <v>472</v>
      </c>
      <c r="BF4" s="158" t="s">
        <v>473</v>
      </c>
      <c r="BG4" s="135" t="s">
        <v>474</v>
      </c>
      <c r="BH4" s="135" t="s">
        <v>475</v>
      </c>
      <c r="BI4" s="135" t="s">
        <v>476</v>
      </c>
      <c r="BJ4" s="135" t="s">
        <v>477</v>
      </c>
      <c r="BK4" s="135" t="s">
        <v>478</v>
      </c>
      <c r="BL4" s="135" t="s">
        <v>479</v>
      </c>
      <c r="BM4" s="25"/>
      <c r="BN4" s="51" t="s">
        <v>427</v>
      </c>
      <c r="BO4" s="51" t="s">
        <v>428</v>
      </c>
      <c r="BP4" s="51" t="s">
        <v>429</v>
      </c>
      <c r="BQ4" s="51" t="s">
        <v>430</v>
      </c>
      <c r="BR4" s="51" t="s">
        <v>480</v>
      </c>
      <c r="BS4" s="162" t="s">
        <v>440</v>
      </c>
      <c r="BT4" s="162" t="s">
        <v>441</v>
      </c>
      <c r="BU4" s="162" t="s">
        <v>481</v>
      </c>
      <c r="BV4" s="162" t="s">
        <v>482</v>
      </c>
      <c r="BW4" s="162" t="s">
        <v>483</v>
      </c>
      <c r="BX4" s="162" t="s">
        <v>484</v>
      </c>
      <c r="BY4" s="162" t="s">
        <v>472</v>
      </c>
      <c r="BZ4" s="162" t="s">
        <v>473</v>
      </c>
      <c r="CA4" s="162" t="s">
        <v>472</v>
      </c>
      <c r="CB4" s="162" t="s">
        <v>473</v>
      </c>
      <c r="CC4" s="62" t="s">
        <v>485</v>
      </c>
      <c r="CD4" s="165" t="s">
        <v>486</v>
      </c>
      <c r="CE4" s="165" t="s">
        <v>487</v>
      </c>
      <c r="CF4" s="165" t="s">
        <v>488</v>
      </c>
      <c r="CG4" s="165" t="s">
        <v>489</v>
      </c>
      <c r="CH4" s="165" t="s">
        <v>490</v>
      </c>
      <c r="CI4" s="71"/>
      <c r="CJ4" s="166" t="s">
        <v>491</v>
      </c>
      <c r="CK4" s="166" t="s">
        <v>492</v>
      </c>
      <c r="CL4" s="170" t="s">
        <v>493</v>
      </c>
    </row>
    <row r="5" s="123" customFormat="1" ht="306.75" customHeight="1">
      <c r="A5" s="29" t="n">
        <v>1</v>
      </c>
      <c r="B5" s="127"/>
      <c r="C5" s="96" t="s">
        <v>494</v>
      </c>
      <c r="D5" s="128" t="s">
        <v>495</v>
      </c>
      <c r="E5" s="479" t="s">
        <v>496</v>
      </c>
      <c r="F5" s="480" t="s">
        <v>497</v>
      </c>
      <c r="G5" s="32" t="s">
        <v>266</v>
      </c>
      <c r="H5" s="32" t="s">
        <v>498</v>
      </c>
      <c r="I5" s="29"/>
      <c r="J5" s="53"/>
      <c r="K5" s="53"/>
      <c r="L5" s="53"/>
      <c r="M5" s="53"/>
      <c r="N5" s="136" t="n">
        <f>O5+P5+Q5+R5</f>
        <v>133504</v>
      </c>
      <c r="O5" s="136" t="n">
        <f>X5</f>
        <v>8480</v>
      </c>
      <c r="P5" s="136" t="n">
        <f>AA5+AE5+AI5+AM5+AQ5+AU5+AX5+BA5</f>
        <v>66144</v>
      </c>
      <c r="Q5" s="136" t="n">
        <f>AB5+AF5+AJ5+AN5+AR5+AV5+BB5</f>
        <v>0</v>
      </c>
      <c r="R5" s="136" t="n">
        <f>BD5+BF5</f>
        <v>58880</v>
      </c>
      <c r="S5" s="136" t="n">
        <f>W5</f>
        <v>5</v>
      </c>
      <c r="T5" s="136" t="n">
        <f>Y5+AC5+AG5+AK5+AO5+AS5+AW5+AY5</f>
        <v>39</v>
      </c>
      <c r="U5" s="136" t="n">
        <f>Z5+AD5+AH5+AL5+AP5+AT5+AZ5</f>
        <v>0</v>
      </c>
      <c r="V5" s="136" t="n">
        <f>BC5+BE5</f>
        <v>184</v>
      </c>
      <c r="W5" s="57" t="n">
        <v>5</v>
      </c>
      <c r="X5" s="57" t="n">
        <f>W5*1696</f>
        <v>8480</v>
      </c>
      <c r="Y5" s="147"/>
      <c r="Z5" s="147"/>
      <c r="AA5" s="147"/>
      <c r="AB5" s="147" t="n">
        <f>Z5*995</f>
        <v>0</v>
      </c>
      <c r="AC5" s="148"/>
      <c r="AD5" s="148"/>
      <c r="AE5" s="148"/>
      <c r="AF5" s="148" t="n">
        <f>AD5*995</f>
        <v>0</v>
      </c>
      <c r="AG5" s="147"/>
      <c r="AH5" s="147"/>
      <c r="AI5" s="147"/>
      <c r="AJ5" s="147" t="n">
        <f>AH5*995</f>
        <v>0</v>
      </c>
      <c r="AK5" s="72"/>
      <c r="AL5" s="72"/>
      <c r="AM5" s="72" t="n">
        <f>AK5*1696</f>
        <v>0</v>
      </c>
      <c r="AN5" s="72" t="n">
        <f>AL5*995</f>
        <v>0</v>
      </c>
      <c r="AO5" s="57"/>
      <c r="AP5" s="57"/>
      <c r="AQ5" s="57"/>
      <c r="AR5" s="57" t="n">
        <f>AP5*995</f>
        <v>0</v>
      </c>
      <c r="AS5" s="151" t="n">
        <v>39</v>
      </c>
      <c r="AT5" s="151"/>
      <c r="AU5" s="151" t="n">
        <f>AS5*1696</f>
        <v>66144</v>
      </c>
      <c r="AV5" s="151" t="n">
        <f>AT5*995</f>
        <v>0</v>
      </c>
      <c r="AW5" s="148"/>
      <c r="AX5" s="148"/>
      <c r="AY5" s="58"/>
      <c r="AZ5" s="58"/>
      <c r="BA5" s="58" t="n">
        <f>AY5*1696</f>
        <v>0</v>
      </c>
      <c r="BB5" s="58" t="n">
        <f>AZ5*995</f>
        <v>0</v>
      </c>
      <c r="BC5" s="66" t="n">
        <v>184</v>
      </c>
      <c r="BD5" s="66" t="n">
        <f>BC5*320</f>
        <v>58880</v>
      </c>
      <c r="BE5" s="57"/>
      <c r="BF5" s="57" t="n">
        <f>BE5*320</f>
        <v>0</v>
      </c>
      <c r="BG5" s="54" t="n">
        <f>SUM(BH5:BL5)</f>
        <v>6000</v>
      </c>
      <c r="BH5" s="159" t="n">
        <v>3000</v>
      </c>
      <c r="BI5" s="159"/>
      <c r="BJ5" s="159" t="n">
        <v>3000</v>
      </c>
      <c r="BK5" s="159"/>
      <c r="BL5" s="159"/>
      <c r="BM5" s="163"/>
      <c r="BN5" s="53"/>
      <c r="BO5" s="53"/>
      <c r="BP5" s="53"/>
      <c r="BQ5" s="53"/>
      <c r="BR5" s="54" t="n">
        <f>SUM(BT5,BW5,BX5,BZ5,CB5)</f>
        <v>3392</v>
      </c>
      <c r="BS5" s="55" t="n">
        <v>2</v>
      </c>
      <c r="BT5" s="55" t="n">
        <f>BS5*1696</f>
        <v>3392</v>
      </c>
      <c r="BU5" s="56"/>
      <c r="BV5" s="56"/>
      <c r="BW5" s="56"/>
      <c r="BX5" s="56" t="n">
        <f>BV5*995</f>
        <v>0</v>
      </c>
      <c r="BY5" s="63"/>
      <c r="BZ5" s="63" t="n">
        <f>BY5*320</f>
        <v>0</v>
      </c>
      <c r="CA5" s="55"/>
      <c r="CB5" s="55" t="n">
        <f>CA5*320</f>
        <v>0</v>
      </c>
      <c r="CC5" s="53" t="n">
        <f>SUM(CD5:CH5)</f>
        <v>0</v>
      </c>
      <c r="CD5" s="72"/>
      <c r="CE5" s="72"/>
      <c r="CF5" s="72"/>
      <c r="CG5" s="72"/>
      <c r="CH5" s="72"/>
      <c r="CI5" s="167" t="s">
        <v>499</v>
      </c>
      <c r="CJ5" s="168"/>
      <c r="CK5" s="136"/>
      <c r="CL5" s="171" t="s">
        <v>500</v>
      </c>
    </row>
    <row r="6" s="124" customFormat="1" ht="306.75" customHeight="1">
      <c r="A6" s="29" t="n">
        <v>2</v>
      </c>
      <c r="B6" s="129"/>
      <c r="C6" s="96" t="s">
        <v>494</v>
      </c>
      <c r="D6" s="128" t="s">
        <v>501</v>
      </c>
      <c r="E6" s="481" t="s">
        <v>496</v>
      </c>
      <c r="F6" s="130"/>
      <c r="G6" s="32" t="s">
        <v>266</v>
      </c>
      <c r="H6" s="32" t="s">
        <v>498</v>
      </c>
      <c r="I6" s="137"/>
      <c r="J6" s="53"/>
      <c r="K6" s="53"/>
      <c r="L6" s="53"/>
      <c r="M6" s="53"/>
      <c r="N6" s="136" t="n">
        <f>O6+P6+Q6+R6</f>
        <v>0</v>
      </c>
      <c r="O6" s="136" t="n">
        <f>X6</f>
        <v>0</v>
      </c>
      <c r="P6" s="136" t="n">
        <f>AA6+AE6+AI6+AM6+AQ6+AU6+AX6+BA6</f>
        <v>0</v>
      </c>
      <c r="Q6" s="136" t="n">
        <f>AB6+AF6+AJ6+AN6+AR6+AV6+BB6</f>
        <v>0</v>
      </c>
      <c r="R6" s="136" t="n">
        <f>BD6+BF6</f>
        <v>0</v>
      </c>
      <c r="S6" s="136" t="n">
        <f>W6</f>
        <v>0</v>
      </c>
      <c r="T6" s="136" t="n">
        <f>Y6+AC6+AG6+AK6+AO6+AS6+AW6+AY6</f>
        <v>0</v>
      </c>
      <c r="U6" s="136" t="n">
        <f>Z6+AD6+AH6+AL6+AP6+AT6+AZ6</f>
        <v>0</v>
      </c>
      <c r="V6" s="136" t="n">
        <f>BC6+BE6</f>
        <v>0</v>
      </c>
      <c r="W6" s="57"/>
      <c r="X6" s="57"/>
      <c r="Y6" s="147"/>
      <c r="Z6" s="147"/>
      <c r="AA6" s="147"/>
      <c r="AB6" s="147" t="n">
        <f>Z6*995</f>
        <v>0</v>
      </c>
      <c r="AC6" s="148"/>
      <c r="AD6" s="148"/>
      <c r="AE6" s="148"/>
      <c r="AF6" s="148" t="n">
        <f>AD6*995</f>
        <v>0</v>
      </c>
      <c r="AG6" s="147"/>
      <c r="AH6" s="147"/>
      <c r="AI6" s="147"/>
      <c r="AJ6" s="147" t="n">
        <f>AH6*995</f>
        <v>0</v>
      </c>
      <c r="AK6" s="72"/>
      <c r="AL6" s="72"/>
      <c r="AM6" s="72" t="n">
        <f>AK6*1696</f>
        <v>0</v>
      </c>
      <c r="AN6" s="72" t="n">
        <f>AL6*995</f>
        <v>0</v>
      </c>
      <c r="AO6" s="57"/>
      <c r="AP6" s="57"/>
      <c r="AQ6" s="57"/>
      <c r="AR6" s="57" t="n">
        <f>AP6*995</f>
        <v>0</v>
      </c>
      <c r="AS6" s="151"/>
      <c r="AT6" s="151"/>
      <c r="AU6" s="151"/>
      <c r="AV6" s="151" t="n">
        <f>AT6*995</f>
        <v>0</v>
      </c>
      <c r="AW6" s="148"/>
      <c r="AX6" s="148"/>
      <c r="AY6" s="58"/>
      <c r="AZ6" s="58"/>
      <c r="BA6" s="58" t="n">
        <f>AY6*1696</f>
        <v>0</v>
      </c>
      <c r="BB6" s="58" t="n">
        <f>AZ6*995</f>
        <v>0</v>
      </c>
      <c r="BC6" s="66"/>
      <c r="BD6" s="66" t="n">
        <f>BC6*320</f>
        <v>0</v>
      </c>
      <c r="BE6" s="57"/>
      <c r="BF6" s="57" t="n">
        <f>BE6*320</f>
        <v>0</v>
      </c>
      <c r="BG6" s="53" t="n">
        <f>SUM(BH6:BL6)</f>
        <v>0</v>
      </c>
      <c r="BH6" s="72"/>
      <c r="BI6" s="72"/>
      <c r="BJ6" s="72"/>
      <c r="BK6" s="72"/>
      <c r="BL6" s="72"/>
      <c r="BM6" s="97"/>
      <c r="BN6" s="53"/>
      <c r="BO6" s="53"/>
      <c r="BP6" s="53"/>
      <c r="BQ6" s="53"/>
      <c r="BR6" s="53" t="n">
        <f>SUM(BT6,BW6,BX6,BZ6,CB6)</f>
        <v>0</v>
      </c>
      <c r="BS6" s="57"/>
      <c r="BT6" s="57"/>
      <c r="BU6" s="58"/>
      <c r="BV6" s="58"/>
      <c r="BW6" s="58"/>
      <c r="BX6" s="58" t="n">
        <f>BV6*995</f>
        <v>0</v>
      </c>
      <c r="BY6" s="66"/>
      <c r="BZ6" s="66" t="n">
        <f>BY6*320</f>
        <v>0</v>
      </c>
      <c r="CA6" s="57"/>
      <c r="CB6" s="57" t="n">
        <f>CA6*320</f>
        <v>0</v>
      </c>
      <c r="CC6" s="53" t="n">
        <f>SUM(CD6:CH6)</f>
        <v>0</v>
      </c>
      <c r="CD6" s="72"/>
      <c r="CE6" s="72"/>
      <c r="CF6" s="72"/>
      <c r="CG6" s="72"/>
      <c r="CH6" s="72"/>
      <c r="CI6" s="25"/>
      <c r="CJ6" s="136"/>
      <c r="CK6" s="136"/>
      <c r="CL6" s="25"/>
    </row>
    <row r="7" s="124" customFormat="1" ht="306.75" customHeight="1">
      <c r="A7" s="29" t="n">
        <v>3</v>
      </c>
      <c r="B7" s="129"/>
      <c r="C7" s="96" t="s">
        <v>494</v>
      </c>
      <c r="D7" s="128" t="s">
        <v>502</v>
      </c>
      <c r="E7" s="482" t="s">
        <v>496</v>
      </c>
      <c r="F7" s="130"/>
      <c r="G7" s="32" t="s">
        <v>266</v>
      </c>
      <c r="H7" s="32" t="s">
        <v>498</v>
      </c>
      <c r="I7" s="137"/>
      <c r="J7" s="53"/>
      <c r="K7" s="53"/>
      <c r="L7" s="53"/>
      <c r="M7" s="53"/>
      <c r="N7" s="136" t="n">
        <f>O7+P7+Q7+R7</f>
        <v>0</v>
      </c>
      <c r="O7" s="136" t="n">
        <f>X7</f>
        <v>0</v>
      </c>
      <c r="P7" s="136" t="n">
        <f>AA7+AE7+AI7+AM7+AQ7+AU7+AX7+BA7</f>
        <v>0</v>
      </c>
      <c r="Q7" s="136" t="n">
        <f>AB7+AF7+AJ7+AN7+AR7+AV7+BB7</f>
        <v>0</v>
      </c>
      <c r="R7" s="136" t="n">
        <f>BD7+BF7</f>
        <v>0</v>
      </c>
      <c r="S7" s="136" t="n">
        <f>W7</f>
        <v>0</v>
      </c>
      <c r="T7" s="136" t="n">
        <f>Y7+AC7+AG7+AK7+AO7+AS7+AW7+AY7</f>
        <v>0</v>
      </c>
      <c r="U7" s="136" t="n">
        <f>Z7+AD7+AH7+AL7+AP7+AT7+AZ7</f>
        <v>0</v>
      </c>
      <c r="V7" s="136" t="n">
        <f>BC7+BE7</f>
        <v>0</v>
      </c>
      <c r="W7" s="57"/>
      <c r="X7" s="57"/>
      <c r="Y7" s="147"/>
      <c r="Z7" s="147"/>
      <c r="AA7" s="147"/>
      <c r="AB7" s="147" t="n">
        <f>Z7*995</f>
        <v>0</v>
      </c>
      <c r="AC7" s="148"/>
      <c r="AD7" s="148"/>
      <c r="AE7" s="148"/>
      <c r="AF7" s="148" t="n">
        <f>AD7*995</f>
        <v>0</v>
      </c>
      <c r="AG7" s="147"/>
      <c r="AH7" s="147"/>
      <c r="AI7" s="147"/>
      <c r="AJ7" s="147" t="n">
        <f>AH7*995</f>
        <v>0</v>
      </c>
      <c r="AK7" s="72"/>
      <c r="AL7" s="72"/>
      <c r="AM7" s="72" t="n">
        <f>AK7*1696</f>
        <v>0</v>
      </c>
      <c r="AN7" s="72" t="n">
        <f>AL7*995</f>
        <v>0</v>
      </c>
      <c r="AO7" s="57"/>
      <c r="AP7" s="57"/>
      <c r="AQ7" s="57"/>
      <c r="AR7" s="57" t="n">
        <f>AP7*995</f>
        <v>0</v>
      </c>
      <c r="AS7" s="151"/>
      <c r="AT7" s="151"/>
      <c r="AU7" s="151"/>
      <c r="AV7" s="151" t="n">
        <f>AT7*995</f>
        <v>0</v>
      </c>
      <c r="AW7" s="148"/>
      <c r="AX7" s="148"/>
      <c r="AY7" s="58"/>
      <c r="AZ7" s="58"/>
      <c r="BA7" s="58" t="n">
        <f>AY7*1696</f>
        <v>0</v>
      </c>
      <c r="BB7" s="58" t="n">
        <f>AZ7*995</f>
        <v>0</v>
      </c>
      <c r="BC7" s="66"/>
      <c r="BD7" s="66" t="n">
        <f>BC7*320</f>
        <v>0</v>
      </c>
      <c r="BE7" s="57"/>
      <c r="BF7" s="57" t="n">
        <f>BE7*320</f>
        <v>0</v>
      </c>
      <c r="BG7" s="53" t="n">
        <f>SUM(BH7:BL7)</f>
        <v>0</v>
      </c>
      <c r="BH7" s="72"/>
      <c r="BI7" s="72"/>
      <c r="BJ7" s="72"/>
      <c r="BK7" s="72"/>
      <c r="BL7" s="72"/>
      <c r="BM7" s="97"/>
      <c r="BN7" s="53"/>
      <c r="BO7" s="53"/>
      <c r="BP7" s="53"/>
      <c r="BQ7" s="53"/>
      <c r="BR7" s="53" t="n">
        <f>SUM(BT7,BW7,BX7,BZ7,CB7)</f>
        <v>0</v>
      </c>
      <c r="BS7" s="57"/>
      <c r="BT7" s="57"/>
      <c r="BU7" s="58"/>
      <c r="BV7" s="58"/>
      <c r="BW7" s="58"/>
      <c r="BX7" s="58" t="n">
        <f>BV7*995</f>
        <v>0</v>
      </c>
      <c r="BY7" s="66"/>
      <c r="BZ7" s="66" t="n">
        <f>BY7*320</f>
        <v>0</v>
      </c>
      <c r="CA7" s="57"/>
      <c r="CB7" s="57" t="n">
        <f>CA7*320</f>
        <v>0</v>
      </c>
      <c r="CC7" s="53" t="n">
        <f>SUM(CD7:CH7)</f>
        <v>0</v>
      </c>
      <c r="CD7" s="72"/>
      <c r="CE7" s="72"/>
      <c r="CF7" s="72"/>
      <c r="CG7" s="72"/>
      <c r="CH7" s="72"/>
      <c r="CI7" s="25"/>
      <c r="CJ7" s="136"/>
      <c r="CK7" s="136"/>
      <c r="CL7" s="25"/>
    </row>
    <row r="8" s="124" customFormat="1" ht="306.75" customHeight="1">
      <c r="A8" s="29" t="n">
        <v>4</v>
      </c>
      <c r="B8" s="129"/>
      <c r="C8" s="96" t="s">
        <v>494</v>
      </c>
      <c r="D8" s="128" t="s">
        <v>503</v>
      </c>
      <c r="E8" s="483" t="s">
        <v>496</v>
      </c>
      <c r="F8" s="130"/>
      <c r="G8" s="32" t="s">
        <v>266</v>
      </c>
      <c r="H8" s="32" t="s">
        <v>498</v>
      </c>
      <c r="I8" s="138"/>
      <c r="J8" s="53"/>
      <c r="K8" s="53"/>
      <c r="L8" s="53"/>
      <c r="M8" s="53"/>
      <c r="N8" s="136" t="n">
        <f>O8+P8+Q8+R8</f>
        <v>0</v>
      </c>
      <c r="O8" s="136" t="n">
        <f>X8</f>
        <v>0</v>
      </c>
      <c r="P8" s="136" t="n">
        <f>AA8+AE8+AI8+AM8+AQ8+AU8+AX8+BA8</f>
        <v>0</v>
      </c>
      <c r="Q8" s="136" t="n">
        <f>AB8+AF8+AJ8+AN8+AR8+AV8+BB8</f>
        <v>0</v>
      </c>
      <c r="R8" s="136" t="n">
        <f>BD8+BF8</f>
        <v>0</v>
      </c>
      <c r="S8" s="136" t="n">
        <f>W8</f>
        <v>0</v>
      </c>
      <c r="T8" s="136" t="n">
        <f>Y8+AC8+AG8+AK8+AO8+AS8+AW8+AY8</f>
        <v>0</v>
      </c>
      <c r="U8" s="136" t="n">
        <f>Z8+AD8+AH8+AL8+AP8+AT8+AZ8</f>
        <v>0</v>
      </c>
      <c r="V8" s="136" t="n">
        <f>BC8+BE8</f>
        <v>0</v>
      </c>
      <c r="W8" s="57"/>
      <c r="X8" s="57"/>
      <c r="Y8" s="147"/>
      <c r="Z8" s="147"/>
      <c r="AA8" s="147"/>
      <c r="AB8" s="147" t="n">
        <f>Z8*995</f>
        <v>0</v>
      </c>
      <c r="AC8" s="148"/>
      <c r="AD8" s="148"/>
      <c r="AE8" s="148"/>
      <c r="AF8" s="148" t="n">
        <f>AD8*995</f>
        <v>0</v>
      </c>
      <c r="AG8" s="147"/>
      <c r="AH8" s="147"/>
      <c r="AI8" s="147"/>
      <c r="AJ8" s="147" t="n">
        <f>AH8*995</f>
        <v>0</v>
      </c>
      <c r="AK8" s="72"/>
      <c r="AL8" s="72"/>
      <c r="AM8" s="72" t="n">
        <f>AK8*1696</f>
        <v>0</v>
      </c>
      <c r="AN8" s="72" t="n">
        <f>AL8*995</f>
        <v>0</v>
      </c>
      <c r="AO8" s="57"/>
      <c r="AP8" s="57"/>
      <c r="AQ8" s="57"/>
      <c r="AR8" s="57" t="n">
        <f>AP8*995</f>
        <v>0</v>
      </c>
      <c r="AS8" s="151"/>
      <c r="AT8" s="151"/>
      <c r="AU8" s="151"/>
      <c r="AV8" s="151" t="n">
        <f>AT8*995</f>
        <v>0</v>
      </c>
      <c r="AW8" s="148"/>
      <c r="AX8" s="148"/>
      <c r="AY8" s="58"/>
      <c r="AZ8" s="58"/>
      <c r="BA8" s="58" t="n">
        <f>AY8*1696</f>
        <v>0</v>
      </c>
      <c r="BB8" s="58" t="n">
        <f>AZ8*995</f>
        <v>0</v>
      </c>
      <c r="BC8" s="66"/>
      <c r="BD8" s="66" t="n">
        <f>BC8*320</f>
        <v>0</v>
      </c>
      <c r="BE8" s="57"/>
      <c r="BF8" s="57" t="n">
        <f>BE8*320</f>
        <v>0</v>
      </c>
      <c r="BG8" s="53" t="n">
        <f>SUM(BH8:BL8)</f>
        <v>0</v>
      </c>
      <c r="BH8" s="72"/>
      <c r="BI8" s="72"/>
      <c r="BJ8" s="72"/>
      <c r="BK8" s="72"/>
      <c r="BL8" s="72"/>
      <c r="BM8" s="97"/>
      <c r="BN8" s="53"/>
      <c r="BO8" s="53"/>
      <c r="BP8" s="53"/>
      <c r="BQ8" s="53"/>
      <c r="BR8" s="53" t="n">
        <f>SUM(BT8,BW8,BX8,BZ8,CB8)</f>
        <v>0</v>
      </c>
      <c r="BS8" s="57"/>
      <c r="BT8" s="57"/>
      <c r="BU8" s="58"/>
      <c r="BV8" s="58"/>
      <c r="BW8" s="58"/>
      <c r="BX8" s="58" t="n">
        <f>BV8*995</f>
        <v>0</v>
      </c>
      <c r="BY8" s="66"/>
      <c r="BZ8" s="66" t="n">
        <f>BY8*320</f>
        <v>0</v>
      </c>
      <c r="CA8" s="57"/>
      <c r="CB8" s="57" t="n">
        <f>CA8*320</f>
        <v>0</v>
      </c>
      <c r="CC8" s="53" t="n">
        <f>SUM(CD8:CH8)</f>
        <v>0</v>
      </c>
      <c r="CD8" s="72"/>
      <c r="CE8" s="72"/>
      <c r="CF8" s="72"/>
      <c r="CG8" s="72"/>
      <c r="CH8" s="72"/>
      <c r="CI8" s="25"/>
      <c r="CJ8" s="136"/>
      <c r="CK8" s="136"/>
      <c r="CL8" s="25"/>
    </row>
    <row r="9" s="124" customFormat="1" ht="153.75" customHeight="1">
      <c r="A9" s="29" t="n">
        <v>5</v>
      </c>
      <c r="B9" s="129"/>
      <c r="C9" s="96" t="s">
        <v>494</v>
      </c>
      <c r="D9" s="128" t="s">
        <v>504</v>
      </c>
      <c r="E9" s="484" t="s">
        <v>505</v>
      </c>
      <c r="F9" s="130"/>
      <c r="G9" s="32" t="s">
        <v>266</v>
      </c>
      <c r="H9" s="32" t="s">
        <v>498</v>
      </c>
      <c r="I9" s="138"/>
      <c r="J9" s="53"/>
      <c r="K9" s="53"/>
      <c r="L9" s="53"/>
      <c r="M9" s="53"/>
      <c r="N9" s="136" t="n">
        <f>O9+P9+Q9+R9</f>
        <v>0</v>
      </c>
      <c r="O9" s="136" t="n">
        <f>X9</f>
        <v>0</v>
      </c>
      <c r="P9" s="136" t="n">
        <f>AA9+AE9+AI9+AM9+AQ9+AU9+AX9+BA9</f>
        <v>0</v>
      </c>
      <c r="Q9" s="136" t="n">
        <f>AB9+AF9+AJ9+AN9+AR9+AV9+BB9</f>
        <v>0</v>
      </c>
      <c r="R9" s="136" t="n">
        <f>BD9+BF9</f>
        <v>0</v>
      </c>
      <c r="S9" s="136" t="n">
        <f>W9</f>
        <v>0</v>
      </c>
      <c r="T9" s="136" t="n">
        <f>Y9+AC9+AG9+AK9+AO9+AS9+AW9+AY9</f>
        <v>0</v>
      </c>
      <c r="U9" s="136" t="n">
        <f>Z9+AD9+AH9+AL9+AP9+AT9+AZ9</f>
        <v>0</v>
      </c>
      <c r="V9" s="136" t="n">
        <f>BC9+BE9</f>
        <v>0</v>
      </c>
      <c r="W9" s="57"/>
      <c r="X9" s="57"/>
      <c r="Y9" s="147"/>
      <c r="Z9" s="147"/>
      <c r="AA9" s="147"/>
      <c r="AB9" s="147" t="n">
        <f>Z9*995</f>
        <v>0</v>
      </c>
      <c r="AC9" s="148"/>
      <c r="AD9" s="148"/>
      <c r="AE9" s="148"/>
      <c r="AF9" s="148" t="n">
        <f>AD9*995</f>
        <v>0</v>
      </c>
      <c r="AG9" s="147"/>
      <c r="AH9" s="147"/>
      <c r="AI9" s="147"/>
      <c r="AJ9" s="147" t="n">
        <f>AH9*995</f>
        <v>0</v>
      </c>
      <c r="AK9" s="72"/>
      <c r="AL9" s="72"/>
      <c r="AM9" s="72" t="n">
        <f>AK9*1696</f>
        <v>0</v>
      </c>
      <c r="AN9" s="72" t="n">
        <f>AL9*995</f>
        <v>0</v>
      </c>
      <c r="AO9" s="57"/>
      <c r="AP9" s="57"/>
      <c r="AQ9" s="57"/>
      <c r="AR9" s="57" t="n">
        <f>AP9*995</f>
        <v>0</v>
      </c>
      <c r="AS9" s="151"/>
      <c r="AT9" s="151"/>
      <c r="AU9" s="151"/>
      <c r="AV9" s="151" t="n">
        <f>AT9*995</f>
        <v>0</v>
      </c>
      <c r="AW9" s="148"/>
      <c r="AX9" s="148"/>
      <c r="AY9" s="58"/>
      <c r="AZ9" s="58"/>
      <c r="BA9" s="58" t="n">
        <f>AY9*1696</f>
        <v>0</v>
      </c>
      <c r="BB9" s="58" t="n">
        <f>AZ9*995</f>
        <v>0</v>
      </c>
      <c r="BC9" s="66"/>
      <c r="BD9" s="66" t="n">
        <f>BC9*320</f>
        <v>0</v>
      </c>
      <c r="BE9" s="57"/>
      <c r="BF9" s="57" t="n">
        <f>BE9*320</f>
        <v>0</v>
      </c>
      <c r="BG9" s="53" t="n">
        <f>SUM(BH9:BL9)</f>
        <v>0</v>
      </c>
      <c r="BH9" s="72"/>
      <c r="BI9" s="72"/>
      <c r="BJ9" s="72"/>
      <c r="BK9" s="72"/>
      <c r="BL9" s="72"/>
      <c r="BM9" s="97"/>
      <c r="BN9" s="53"/>
      <c r="BO9" s="53"/>
      <c r="BP9" s="53"/>
      <c r="BQ9" s="53"/>
      <c r="BR9" s="53" t="n">
        <f>SUM(BT9,BW9,BX9,BZ9,CB9)</f>
        <v>0</v>
      </c>
      <c r="BS9" s="57"/>
      <c r="BT9" s="57"/>
      <c r="BU9" s="58"/>
      <c r="BV9" s="58"/>
      <c r="BW9" s="58"/>
      <c r="BX9" s="58" t="n">
        <f>BV9*995</f>
        <v>0</v>
      </c>
      <c r="BY9" s="66"/>
      <c r="BZ9" s="66" t="n">
        <f>BY9*320</f>
        <v>0</v>
      </c>
      <c r="CA9" s="57"/>
      <c r="CB9" s="57" t="n">
        <f>CA9*320</f>
        <v>0</v>
      </c>
      <c r="CC9" s="53" t="n">
        <f>SUM(CD9:CH9)</f>
        <v>0</v>
      </c>
      <c r="CD9" s="72"/>
      <c r="CE9" s="72"/>
      <c r="CF9" s="72"/>
      <c r="CG9" s="72"/>
      <c r="CH9" s="72"/>
      <c r="CI9" s="167"/>
      <c r="CJ9" s="136"/>
      <c r="CK9" s="136"/>
      <c r="CL9" s="171"/>
    </row>
    <row r="10" s="124" customFormat="1" ht="153.75" customHeight="1">
      <c r="A10" s="29" t="n">
        <v>6</v>
      </c>
      <c r="B10" s="129"/>
      <c r="C10" s="96" t="s">
        <v>494</v>
      </c>
      <c r="D10" s="128" t="s">
        <v>506</v>
      </c>
      <c r="E10" s="485" t="s">
        <v>505</v>
      </c>
      <c r="F10" s="130"/>
      <c r="G10" s="32" t="s">
        <v>266</v>
      </c>
      <c r="H10" s="32" t="s">
        <v>498</v>
      </c>
      <c r="I10" s="138"/>
      <c r="J10" s="53"/>
      <c r="K10" s="53"/>
      <c r="L10" s="53"/>
      <c r="M10" s="53"/>
      <c r="N10" s="136" t="n">
        <f>O10+P10+Q10+R10</f>
        <v>0</v>
      </c>
      <c r="O10" s="136" t="n">
        <f>X10</f>
        <v>0</v>
      </c>
      <c r="P10" s="136" t="n">
        <f>AA10+AE10+AI10+AM10+AQ10+AU10+AX10+BA10</f>
        <v>0</v>
      </c>
      <c r="Q10" s="136" t="n">
        <f>AB10+AF10+AJ10+AN10+AR10+AV10+BB10</f>
        <v>0</v>
      </c>
      <c r="R10" s="136" t="n">
        <f>BD10+BF10</f>
        <v>0</v>
      </c>
      <c r="S10" s="136" t="n">
        <f>W10</f>
        <v>0</v>
      </c>
      <c r="T10" s="136" t="n">
        <f>Y10+AC10+AG10+AK10+AO10+AS10+AW10+AY10</f>
        <v>0</v>
      </c>
      <c r="U10" s="136" t="n">
        <f>Z10+AD10+AH10+AL10+AP10+AT10+AZ10</f>
        <v>0</v>
      </c>
      <c r="V10" s="136" t="n">
        <f>BC10+BE10</f>
        <v>0</v>
      </c>
      <c r="W10" s="57"/>
      <c r="X10" s="57"/>
      <c r="Y10" s="147"/>
      <c r="Z10" s="147"/>
      <c r="AA10" s="147"/>
      <c r="AB10" s="147" t="n">
        <f>Z10*995</f>
        <v>0</v>
      </c>
      <c r="AC10" s="148"/>
      <c r="AD10" s="148"/>
      <c r="AE10" s="148"/>
      <c r="AF10" s="148" t="n">
        <f>AD10*995</f>
        <v>0</v>
      </c>
      <c r="AG10" s="147"/>
      <c r="AH10" s="147"/>
      <c r="AI10" s="147"/>
      <c r="AJ10" s="147" t="n">
        <f>AH10*995</f>
        <v>0</v>
      </c>
      <c r="AK10" s="72"/>
      <c r="AL10" s="72"/>
      <c r="AM10" s="72" t="n">
        <f>AK10*1696</f>
        <v>0</v>
      </c>
      <c r="AN10" s="72" t="n">
        <f>AL10*995</f>
        <v>0</v>
      </c>
      <c r="AO10" s="57"/>
      <c r="AP10" s="57"/>
      <c r="AQ10" s="57"/>
      <c r="AR10" s="57" t="n">
        <f>AP10*995</f>
        <v>0</v>
      </c>
      <c r="AS10" s="151"/>
      <c r="AT10" s="151"/>
      <c r="AU10" s="151"/>
      <c r="AV10" s="151" t="n">
        <f>AT10*995</f>
        <v>0</v>
      </c>
      <c r="AW10" s="148"/>
      <c r="AX10" s="148"/>
      <c r="AY10" s="58"/>
      <c r="AZ10" s="58"/>
      <c r="BA10" s="58" t="n">
        <f>AY10*1696</f>
        <v>0</v>
      </c>
      <c r="BB10" s="58" t="n">
        <f>AZ10*995</f>
        <v>0</v>
      </c>
      <c r="BC10" s="66"/>
      <c r="BD10" s="66" t="n">
        <f>BC10*320</f>
        <v>0</v>
      </c>
      <c r="BE10" s="57"/>
      <c r="BF10" s="57" t="n">
        <f>BE10*320</f>
        <v>0</v>
      </c>
      <c r="BG10" s="53" t="n">
        <f>SUM(BH10:BL10)</f>
        <v>0</v>
      </c>
      <c r="BH10" s="72"/>
      <c r="BI10" s="72"/>
      <c r="BJ10" s="72"/>
      <c r="BK10" s="72"/>
      <c r="BL10" s="72"/>
      <c r="BM10" s="97"/>
      <c r="BN10" s="53"/>
      <c r="BO10" s="53"/>
      <c r="BP10" s="53"/>
      <c r="BQ10" s="53"/>
      <c r="BR10" s="53" t="n">
        <f>SUM(BT10,BW10,BX10,BZ10,CB10)</f>
        <v>0</v>
      </c>
      <c r="BS10" s="57"/>
      <c r="BT10" s="57"/>
      <c r="BU10" s="58"/>
      <c r="BV10" s="58"/>
      <c r="BW10" s="58"/>
      <c r="BX10" s="58" t="n">
        <f>BV10*995</f>
        <v>0</v>
      </c>
      <c r="BY10" s="66"/>
      <c r="BZ10" s="66" t="n">
        <f>BY10*320</f>
        <v>0</v>
      </c>
      <c r="CA10" s="57"/>
      <c r="CB10" s="57" t="n">
        <f>CA10*320</f>
        <v>0</v>
      </c>
      <c r="CC10" s="53" t="n">
        <f>SUM(CD10:CH10)</f>
        <v>0</v>
      </c>
      <c r="CD10" s="72"/>
      <c r="CE10" s="72"/>
      <c r="CF10" s="72"/>
      <c r="CG10" s="72"/>
      <c r="CH10" s="72"/>
      <c r="CI10" s="167"/>
      <c r="CJ10" s="136"/>
      <c r="CK10" s="136"/>
      <c r="CL10" s="171"/>
    </row>
    <row r="11" s="124" customFormat="1" ht="153.75" customHeight="1">
      <c r="A11" s="29" t="n">
        <v>7</v>
      </c>
      <c r="B11" s="129"/>
      <c r="C11" s="96" t="s">
        <v>494</v>
      </c>
      <c r="D11" s="128" t="s">
        <v>507</v>
      </c>
      <c r="E11" s="486" t="s">
        <v>505</v>
      </c>
      <c r="F11" s="130"/>
      <c r="G11" s="32" t="s">
        <v>266</v>
      </c>
      <c r="H11" s="32" t="s">
        <v>498</v>
      </c>
      <c r="I11" s="138"/>
      <c r="J11" s="53"/>
      <c r="K11" s="53"/>
      <c r="L11" s="53"/>
      <c r="M11" s="53"/>
      <c r="N11" s="136" t="n">
        <f>O11+P11+Q11+R11</f>
        <v>0</v>
      </c>
      <c r="O11" s="136" t="n">
        <f>X11</f>
        <v>0</v>
      </c>
      <c r="P11" s="136" t="n">
        <f>AA11+AE11+AI11+AM11+AQ11+AU11+AX11+BA11</f>
        <v>0</v>
      </c>
      <c r="Q11" s="136" t="n">
        <f>AB11+AF11+AJ11+AN11+AR11+AV11+BB11</f>
        <v>0</v>
      </c>
      <c r="R11" s="136" t="n">
        <f>BD11+BF11</f>
        <v>0</v>
      </c>
      <c r="S11" s="136" t="n">
        <f>W11</f>
        <v>0</v>
      </c>
      <c r="T11" s="136" t="n">
        <f>Y11+AC11+AG11+AK11+AO11+AS11+AW11+AY11</f>
        <v>0</v>
      </c>
      <c r="U11" s="136" t="n">
        <f>Z11+AD11+AH11+AL11+AP11+AT11+AZ11</f>
        <v>0</v>
      </c>
      <c r="V11" s="136" t="n">
        <f>BC11+BE11</f>
        <v>0</v>
      </c>
      <c r="W11" s="57"/>
      <c r="X11" s="57"/>
      <c r="Y11" s="147"/>
      <c r="Z11" s="147"/>
      <c r="AA11" s="147"/>
      <c r="AB11" s="147" t="n">
        <f>Z11*995</f>
        <v>0</v>
      </c>
      <c r="AC11" s="148"/>
      <c r="AD11" s="148"/>
      <c r="AE11" s="148"/>
      <c r="AF11" s="148" t="n">
        <f>AD11*995</f>
        <v>0</v>
      </c>
      <c r="AG11" s="147"/>
      <c r="AH11" s="147"/>
      <c r="AI11" s="147"/>
      <c r="AJ11" s="147" t="n">
        <f>AH11*995</f>
        <v>0</v>
      </c>
      <c r="AK11" s="72"/>
      <c r="AL11" s="72"/>
      <c r="AM11" s="72"/>
      <c r="AN11" s="72" t="n">
        <f>AL11*995</f>
        <v>0</v>
      </c>
      <c r="AO11" s="57"/>
      <c r="AP11" s="57"/>
      <c r="AQ11" s="57"/>
      <c r="AR11" s="57" t="n">
        <f>AP11*995</f>
        <v>0</v>
      </c>
      <c r="AS11" s="151"/>
      <c r="AT11" s="151"/>
      <c r="AU11" s="151"/>
      <c r="AV11" s="151" t="n">
        <f>AT11*995</f>
        <v>0</v>
      </c>
      <c r="AW11" s="148"/>
      <c r="AX11" s="148"/>
      <c r="AY11" s="58"/>
      <c r="AZ11" s="58"/>
      <c r="BA11" s="58"/>
      <c r="BB11" s="58" t="n">
        <f>AZ11*995</f>
        <v>0</v>
      </c>
      <c r="BC11" s="66"/>
      <c r="BD11" s="66" t="n">
        <f>BC11*320</f>
        <v>0</v>
      </c>
      <c r="BE11" s="57"/>
      <c r="BF11" s="57" t="n">
        <f>BE11*320</f>
        <v>0</v>
      </c>
      <c r="BG11" s="53" t="n">
        <f>SUM(BH11:BL11)</f>
        <v>0</v>
      </c>
      <c r="BH11" s="72"/>
      <c r="BI11" s="72"/>
      <c r="BJ11" s="72"/>
      <c r="BK11" s="72"/>
      <c r="BL11" s="72"/>
      <c r="BM11" s="97"/>
      <c r="BN11" s="53"/>
      <c r="BO11" s="53"/>
      <c r="BP11" s="53"/>
      <c r="BQ11" s="53"/>
      <c r="BR11" s="53" t="n">
        <f>SUM(BT11,BW11,BX11,BZ11,CB11)</f>
        <v>0</v>
      </c>
      <c r="BS11" s="57"/>
      <c r="BT11" s="57"/>
      <c r="BU11" s="58"/>
      <c r="BV11" s="58"/>
      <c r="BW11" s="58"/>
      <c r="BX11" s="58" t="n">
        <f>BV11*995</f>
        <v>0</v>
      </c>
      <c r="BY11" s="66"/>
      <c r="BZ11" s="66" t="n">
        <f>BY11*320</f>
        <v>0</v>
      </c>
      <c r="CA11" s="57"/>
      <c r="CB11" s="57" t="n">
        <f>CA11*320</f>
        <v>0</v>
      </c>
      <c r="CC11" s="53" t="n">
        <f>SUM(CD11:CH11)</f>
        <v>0</v>
      </c>
      <c r="CD11" s="72"/>
      <c r="CE11" s="72"/>
      <c r="CF11" s="72"/>
      <c r="CG11" s="72"/>
      <c r="CH11" s="72"/>
      <c r="CI11" s="167"/>
      <c r="CJ11" s="136"/>
      <c r="CK11" s="136"/>
      <c r="CL11" s="171"/>
    </row>
    <row r="12" s="124" customFormat="1" ht="153.75" customHeight="1">
      <c r="A12" s="29" t="n">
        <v>8</v>
      </c>
      <c r="B12" s="129"/>
      <c r="C12" s="96" t="s">
        <v>494</v>
      </c>
      <c r="D12" s="128" t="s">
        <v>508</v>
      </c>
      <c r="E12" s="487" t="s">
        <v>505</v>
      </c>
      <c r="F12" s="130"/>
      <c r="G12" s="32" t="s">
        <v>266</v>
      </c>
      <c r="H12" s="32" t="s">
        <v>498</v>
      </c>
      <c r="I12" s="138"/>
      <c r="J12" s="53"/>
      <c r="K12" s="53"/>
      <c r="L12" s="53"/>
      <c r="M12" s="53"/>
      <c r="N12" s="136" t="n">
        <f>O12+P12+Q12+R12</f>
        <v>0</v>
      </c>
      <c r="O12" s="136" t="n">
        <f>X12</f>
        <v>0</v>
      </c>
      <c r="P12" s="136" t="n">
        <f>AA12+AE12+AI12+AM12+AQ12+AU12+AX12+BA12</f>
        <v>0</v>
      </c>
      <c r="Q12" s="136" t="n">
        <f>AB12+AF12+AJ12+AN12+AR12+AV12+BB12</f>
        <v>0</v>
      </c>
      <c r="R12" s="136" t="n">
        <f>BD12+BF12</f>
        <v>0</v>
      </c>
      <c r="S12" s="136" t="n">
        <f>W12</f>
        <v>0</v>
      </c>
      <c r="T12" s="136" t="n">
        <f>Y12+AC12+AG12+AK12+AO12+AS12+AW12+AY12</f>
        <v>0</v>
      </c>
      <c r="U12" s="136" t="n">
        <f>Z12+AD12+AH12+AL12+AP12+AT12+AZ12</f>
        <v>0</v>
      </c>
      <c r="V12" s="136" t="n">
        <f>BC12+BE12</f>
        <v>0</v>
      </c>
      <c r="W12" s="57"/>
      <c r="X12" s="57"/>
      <c r="Y12" s="147"/>
      <c r="Z12" s="147"/>
      <c r="AA12" s="147"/>
      <c r="AB12" s="147" t="n">
        <f>Z12*995</f>
        <v>0</v>
      </c>
      <c r="AC12" s="148"/>
      <c r="AD12" s="148"/>
      <c r="AE12" s="148"/>
      <c r="AF12" s="148" t="n">
        <f>AD12*995</f>
        <v>0</v>
      </c>
      <c r="AG12" s="147"/>
      <c r="AH12" s="147"/>
      <c r="AI12" s="147"/>
      <c r="AJ12" s="147" t="n">
        <f>AH12*995</f>
        <v>0</v>
      </c>
      <c r="AK12" s="72"/>
      <c r="AL12" s="72"/>
      <c r="AM12" s="72"/>
      <c r="AN12" s="72" t="n">
        <f>AL12*995</f>
        <v>0</v>
      </c>
      <c r="AO12" s="57"/>
      <c r="AP12" s="57"/>
      <c r="AQ12" s="57"/>
      <c r="AR12" s="57" t="n">
        <f>AP12*995</f>
        <v>0</v>
      </c>
      <c r="AS12" s="151"/>
      <c r="AT12" s="151"/>
      <c r="AU12" s="151"/>
      <c r="AV12" s="151" t="n">
        <f>AT12*995</f>
        <v>0</v>
      </c>
      <c r="AW12" s="148"/>
      <c r="AX12" s="148"/>
      <c r="AY12" s="58"/>
      <c r="AZ12" s="58"/>
      <c r="BA12" s="58"/>
      <c r="BB12" s="58" t="n">
        <f>AZ12*995</f>
        <v>0</v>
      </c>
      <c r="BC12" s="66"/>
      <c r="BD12" s="66" t="n">
        <f>BC12*320</f>
        <v>0</v>
      </c>
      <c r="BE12" s="57"/>
      <c r="BF12" s="57" t="n">
        <f>BE12*320</f>
        <v>0</v>
      </c>
      <c r="BG12" s="53" t="n">
        <f>SUM(BH12:BL12)</f>
        <v>0</v>
      </c>
      <c r="BH12" s="72"/>
      <c r="BI12" s="72"/>
      <c r="BJ12" s="72"/>
      <c r="BK12" s="72"/>
      <c r="BL12" s="72"/>
      <c r="BM12" s="97"/>
      <c r="BN12" s="53"/>
      <c r="BO12" s="53"/>
      <c r="BP12" s="53"/>
      <c r="BQ12" s="53"/>
      <c r="BR12" s="53" t="n">
        <f>SUM(BT12,BW12,BX12,BZ12,CB12)</f>
        <v>0</v>
      </c>
      <c r="BS12" s="57"/>
      <c r="BT12" s="57"/>
      <c r="BU12" s="58"/>
      <c r="BV12" s="58"/>
      <c r="BW12" s="58"/>
      <c r="BX12" s="58" t="n">
        <f>BV12*995</f>
        <v>0</v>
      </c>
      <c r="BY12" s="66"/>
      <c r="BZ12" s="66" t="n">
        <f>BY12*320</f>
        <v>0</v>
      </c>
      <c r="CA12" s="57"/>
      <c r="CB12" s="57" t="n">
        <f>CA12*320</f>
        <v>0</v>
      </c>
      <c r="CC12" s="53" t="n">
        <f>SUM(CD12:CH12)</f>
        <v>0</v>
      </c>
      <c r="CD12" s="72"/>
      <c r="CE12" s="72"/>
      <c r="CF12" s="72"/>
      <c r="CG12" s="72"/>
      <c r="CH12" s="72"/>
      <c r="CI12" s="167"/>
      <c r="CJ12" s="136"/>
      <c r="CK12" s="136"/>
      <c r="CL12" s="171"/>
    </row>
    <row r="13" s="124" customFormat="1" ht="153.75" customHeight="1">
      <c r="A13" s="29" t="n">
        <v>9</v>
      </c>
      <c r="B13" s="129"/>
      <c r="C13" s="96" t="s">
        <v>494</v>
      </c>
      <c r="D13" s="128" t="s">
        <v>509</v>
      </c>
      <c r="E13" s="488" t="s">
        <v>505</v>
      </c>
      <c r="F13" s="130"/>
      <c r="G13" s="32" t="s">
        <v>266</v>
      </c>
      <c r="H13" s="32" t="s">
        <v>498</v>
      </c>
      <c r="I13" s="138"/>
      <c r="J13" s="53"/>
      <c r="K13" s="53"/>
      <c r="L13" s="53"/>
      <c r="M13" s="53"/>
      <c r="N13" s="136" t="n">
        <f>O13+P13+Q13+R13</f>
        <v>0</v>
      </c>
      <c r="O13" s="136" t="n">
        <f>X13</f>
        <v>0</v>
      </c>
      <c r="P13" s="136" t="n">
        <f>AA13+AE13+AI13+AM13+AQ13+AU13+AX13+BA13</f>
        <v>0</v>
      </c>
      <c r="Q13" s="136" t="n">
        <f>AB13+AF13+AJ13+AN13+AR13+AV13+BB13</f>
        <v>0</v>
      </c>
      <c r="R13" s="136" t="n">
        <f>BD13+BF13</f>
        <v>0</v>
      </c>
      <c r="S13" s="136" t="n">
        <f>W13</f>
        <v>0</v>
      </c>
      <c r="T13" s="136" t="n">
        <f>Y13+AC13+AG13+AK13+AO13+AS13+AW13+AY13</f>
        <v>0</v>
      </c>
      <c r="U13" s="136" t="n">
        <f>Z13+AD13+AH13+AL13+AP13+AT13+AZ13</f>
        <v>0</v>
      </c>
      <c r="V13" s="136" t="n">
        <f>BC13+BE13</f>
        <v>0</v>
      </c>
      <c r="W13" s="57"/>
      <c r="X13" s="57"/>
      <c r="Y13" s="147"/>
      <c r="Z13" s="147"/>
      <c r="AA13" s="147"/>
      <c r="AB13" s="147" t="n">
        <f>Z13*995</f>
        <v>0</v>
      </c>
      <c r="AC13" s="148"/>
      <c r="AD13" s="148"/>
      <c r="AE13" s="148"/>
      <c r="AF13" s="148" t="n">
        <f>AD13*995</f>
        <v>0</v>
      </c>
      <c r="AG13" s="147"/>
      <c r="AH13" s="147"/>
      <c r="AI13" s="147"/>
      <c r="AJ13" s="147" t="n">
        <f>AH13*995</f>
        <v>0</v>
      </c>
      <c r="AK13" s="72"/>
      <c r="AL13" s="72"/>
      <c r="AM13" s="72"/>
      <c r="AN13" s="72" t="n">
        <f>AL13*995</f>
        <v>0</v>
      </c>
      <c r="AO13" s="57"/>
      <c r="AP13" s="57"/>
      <c r="AQ13" s="57"/>
      <c r="AR13" s="57" t="n">
        <f>AP13*995</f>
        <v>0</v>
      </c>
      <c r="AS13" s="151"/>
      <c r="AT13" s="151"/>
      <c r="AU13" s="151"/>
      <c r="AV13" s="151" t="n">
        <f>AT13*995</f>
        <v>0</v>
      </c>
      <c r="AW13" s="148"/>
      <c r="AX13" s="148"/>
      <c r="AY13" s="58"/>
      <c r="AZ13" s="58"/>
      <c r="BA13" s="58"/>
      <c r="BB13" s="58" t="n">
        <f>AZ13*995</f>
        <v>0</v>
      </c>
      <c r="BC13" s="66"/>
      <c r="BD13" s="66" t="n">
        <f>BC13*320</f>
        <v>0</v>
      </c>
      <c r="BE13" s="57"/>
      <c r="BF13" s="57" t="n">
        <f>BE13*320</f>
        <v>0</v>
      </c>
      <c r="BG13" s="53" t="n">
        <f>SUM(BH13:BL13)</f>
        <v>0</v>
      </c>
      <c r="BH13" s="72"/>
      <c r="BI13" s="72"/>
      <c r="BJ13" s="72"/>
      <c r="BK13" s="72"/>
      <c r="BL13" s="72"/>
      <c r="BM13" s="97"/>
      <c r="BN13" s="53"/>
      <c r="BO13" s="53"/>
      <c r="BP13" s="53"/>
      <c r="BQ13" s="53"/>
      <c r="BR13" s="53" t="n">
        <f>SUM(BT13,BW13,BX13,BZ13,CB13)</f>
        <v>0</v>
      </c>
      <c r="BS13" s="57"/>
      <c r="BT13" s="57"/>
      <c r="BU13" s="58"/>
      <c r="BV13" s="58"/>
      <c r="BW13" s="58"/>
      <c r="BX13" s="58" t="n">
        <f>BV13*995</f>
        <v>0</v>
      </c>
      <c r="BY13" s="66"/>
      <c r="BZ13" s="66" t="n">
        <f>BY13*320</f>
        <v>0</v>
      </c>
      <c r="CA13" s="57"/>
      <c r="CB13" s="57" t="n">
        <f>CA13*320</f>
        <v>0</v>
      </c>
      <c r="CC13" s="53" t="n">
        <f>SUM(CD13:CH13)</f>
        <v>0</v>
      </c>
      <c r="CD13" s="72"/>
      <c r="CE13" s="72"/>
      <c r="CF13" s="72"/>
      <c r="CG13" s="72"/>
      <c r="CH13" s="72"/>
      <c r="CI13" s="167"/>
      <c r="CJ13" s="136"/>
      <c r="CK13" s="136"/>
      <c r="CL13" s="171"/>
    </row>
    <row r="14" s="124" customFormat="1" ht="153.75" customHeight="1">
      <c r="A14" s="29" t="n">
        <v>10</v>
      </c>
      <c r="B14" s="129"/>
      <c r="C14" s="96" t="s">
        <v>494</v>
      </c>
      <c r="D14" s="128" t="s">
        <v>510</v>
      </c>
      <c r="E14" s="489" t="s">
        <v>505</v>
      </c>
      <c r="F14" s="130"/>
      <c r="G14" s="32"/>
      <c r="H14" s="32"/>
      <c r="I14" s="138"/>
      <c r="J14" s="53"/>
      <c r="K14" s="53"/>
      <c r="L14" s="53"/>
      <c r="M14" s="53"/>
      <c r="N14" s="136"/>
      <c r="O14" s="136"/>
      <c r="P14" s="136"/>
      <c r="Q14" s="136"/>
      <c r="R14" s="136"/>
      <c r="S14" s="136"/>
      <c r="T14" s="136"/>
      <c r="U14" s="136"/>
      <c r="V14" s="136"/>
      <c r="W14" s="57"/>
      <c r="X14" s="57"/>
      <c r="Y14" s="147"/>
      <c r="Z14" s="147"/>
      <c r="AA14" s="147"/>
      <c r="AB14" s="147"/>
      <c r="AC14" s="148"/>
      <c r="AD14" s="148"/>
      <c r="AE14" s="148"/>
      <c r="AF14" s="148"/>
      <c r="AG14" s="147"/>
      <c r="AH14" s="147"/>
      <c r="AI14" s="147"/>
      <c r="AJ14" s="147"/>
      <c r="AK14" s="72"/>
      <c r="AL14" s="72"/>
      <c r="AM14" s="72"/>
      <c r="AN14" s="72"/>
      <c r="AO14" s="57"/>
      <c r="AP14" s="57"/>
      <c r="AQ14" s="57"/>
      <c r="AR14" s="57"/>
      <c r="AS14" s="151"/>
      <c r="AT14" s="151"/>
      <c r="AU14" s="151"/>
      <c r="AV14" s="151"/>
      <c r="AW14" s="148"/>
      <c r="AX14" s="148"/>
      <c r="AY14" s="58"/>
      <c r="AZ14" s="58"/>
      <c r="BA14" s="58"/>
      <c r="BB14" s="58"/>
      <c r="BC14" s="66"/>
      <c r="BD14" s="66"/>
      <c r="BE14" s="57"/>
      <c r="BF14" s="57"/>
      <c r="BG14" s="53"/>
      <c r="BH14" s="72"/>
      <c r="BI14" s="72"/>
      <c r="BJ14" s="72"/>
      <c r="BK14" s="72"/>
      <c r="BL14" s="72"/>
      <c r="BM14" s="97"/>
      <c r="BN14" s="53"/>
      <c r="BO14" s="53"/>
      <c r="BP14" s="53"/>
      <c r="BQ14" s="53"/>
      <c r="BR14" s="53"/>
      <c r="BS14" s="57"/>
      <c r="BT14" s="57"/>
      <c r="BU14" s="58"/>
      <c r="BV14" s="58"/>
      <c r="BW14" s="58"/>
      <c r="BX14" s="58"/>
      <c r="BY14" s="66"/>
      <c r="BZ14" s="66"/>
      <c r="CA14" s="57"/>
      <c r="CB14" s="57"/>
      <c r="CC14" s="53"/>
      <c r="CD14" s="72"/>
      <c r="CE14" s="72"/>
      <c r="CF14" s="72"/>
      <c r="CG14" s="72"/>
      <c r="CH14" s="72"/>
      <c r="CI14" s="25"/>
      <c r="CJ14" s="136"/>
      <c r="CK14" s="136"/>
      <c r="CL14" s="25"/>
    </row>
    <row r="15" s="124" customFormat="1" ht="153.75" customHeight="1">
      <c r="A15" s="29" t="n">
        <v>11</v>
      </c>
      <c r="B15" s="129"/>
      <c r="C15" s="96" t="s">
        <v>494</v>
      </c>
      <c r="D15" s="128" t="s">
        <v>511</v>
      </c>
      <c r="E15" s="490" t="s">
        <v>505</v>
      </c>
      <c r="F15" s="130"/>
      <c r="G15" s="32" t="s">
        <v>266</v>
      </c>
      <c r="H15" s="32" t="s">
        <v>498</v>
      </c>
      <c r="I15" s="138"/>
      <c r="J15" s="53"/>
      <c r="K15" s="53"/>
      <c r="L15" s="53"/>
      <c r="M15" s="53"/>
      <c r="N15" s="136" t="n">
        <f>O15+P15+Q15+R15</f>
        <v>0</v>
      </c>
      <c r="O15" s="136" t="n">
        <f>X15</f>
        <v>0</v>
      </c>
      <c r="P15" s="136" t="n">
        <f>AA15+AE15+AI15+AM15+AQ15+AU15+AX15+BA15</f>
        <v>0</v>
      </c>
      <c r="Q15" s="136" t="n">
        <f>AB15+AF15+AJ15+AN15+AR15+AV15+BB15</f>
        <v>0</v>
      </c>
      <c r="R15" s="136" t="n">
        <f>BD15+BF15</f>
        <v>0</v>
      </c>
      <c r="S15" s="136" t="n">
        <f>W15</f>
        <v>0</v>
      </c>
      <c r="T15" s="136" t="n">
        <f>Y15+AC15+AG15+AK15+AO15+AS15+AW15+AY15</f>
        <v>0</v>
      </c>
      <c r="U15" s="136" t="n">
        <f>Z15+AD15+AH15+AL15+AP15+AT15+AZ15</f>
        <v>0</v>
      </c>
      <c r="V15" s="136" t="n">
        <f>BC15+BE15</f>
        <v>0</v>
      </c>
      <c r="W15" s="57"/>
      <c r="X15" s="57"/>
      <c r="Y15" s="147"/>
      <c r="Z15" s="147"/>
      <c r="AA15" s="147"/>
      <c r="AB15" s="147" t="n">
        <f>Z15*995</f>
        <v>0</v>
      </c>
      <c r="AC15" s="148"/>
      <c r="AD15" s="148"/>
      <c r="AE15" s="148"/>
      <c r="AF15" s="148" t="n">
        <f>AD15*995</f>
        <v>0</v>
      </c>
      <c r="AG15" s="147"/>
      <c r="AH15" s="147"/>
      <c r="AI15" s="147"/>
      <c r="AJ15" s="147" t="n">
        <f>AH15*995</f>
        <v>0</v>
      </c>
      <c r="AK15" s="72"/>
      <c r="AL15" s="72"/>
      <c r="AM15" s="72"/>
      <c r="AN15" s="72" t="n">
        <f>AL15*995</f>
        <v>0</v>
      </c>
      <c r="AO15" s="57"/>
      <c r="AP15" s="57"/>
      <c r="AQ15" s="57"/>
      <c r="AR15" s="57" t="n">
        <f>AP15*995</f>
        <v>0</v>
      </c>
      <c r="AS15" s="151"/>
      <c r="AT15" s="151"/>
      <c r="AU15" s="151"/>
      <c r="AV15" s="151" t="n">
        <f>AT15*995</f>
        <v>0</v>
      </c>
      <c r="AW15" s="148"/>
      <c r="AX15" s="148"/>
      <c r="AY15" s="58"/>
      <c r="AZ15" s="58"/>
      <c r="BA15" s="58"/>
      <c r="BB15" s="58" t="n">
        <f>AZ15*995</f>
        <v>0</v>
      </c>
      <c r="BC15" s="66"/>
      <c r="BD15" s="66" t="n">
        <f>BC15*320</f>
        <v>0</v>
      </c>
      <c r="BE15" s="57"/>
      <c r="BF15" s="57" t="n">
        <f>BE15*320</f>
        <v>0</v>
      </c>
      <c r="BG15" s="53" t="n">
        <f>SUM(BH15:BL15)</f>
        <v>0</v>
      </c>
      <c r="BH15" s="72"/>
      <c r="BI15" s="72"/>
      <c r="BJ15" s="72"/>
      <c r="BK15" s="72"/>
      <c r="BL15" s="72"/>
      <c r="BM15" s="97"/>
      <c r="BN15" s="53"/>
      <c r="BO15" s="53"/>
      <c r="BP15" s="53"/>
      <c r="BQ15" s="53"/>
      <c r="BR15" s="53" t="n">
        <f>SUM(BT15,BW15,BX15,BZ15,CB15)</f>
        <v>0</v>
      </c>
      <c r="BS15" s="57"/>
      <c r="BT15" s="57"/>
      <c r="BU15" s="58"/>
      <c r="BV15" s="58"/>
      <c r="BW15" s="58"/>
      <c r="BX15" s="58" t="n">
        <f>BV15*995</f>
        <v>0</v>
      </c>
      <c r="BY15" s="66"/>
      <c r="BZ15" s="66" t="n">
        <f>BY15*320</f>
        <v>0</v>
      </c>
      <c r="CA15" s="57"/>
      <c r="CB15" s="57" t="n">
        <f>CA15*320</f>
        <v>0</v>
      </c>
      <c r="CC15" s="53" t="n">
        <f>SUM(CD15:CH15)</f>
        <v>0</v>
      </c>
      <c r="CD15" s="72"/>
      <c r="CE15" s="72"/>
      <c r="CF15" s="72"/>
      <c r="CG15" s="72"/>
      <c r="CH15" s="72"/>
      <c r="CI15" s="25"/>
      <c r="CJ15" s="136"/>
      <c r="CK15" s="136"/>
      <c r="CL15" s="25"/>
    </row>
    <row r="16" s="6" customFormat="1" ht="213" customHeight="1">
      <c r="A16" s="39" t="s">
        <v>512</v>
      </c>
      <c r="B16" s="25"/>
      <c r="C16" s="25"/>
      <c r="D16" s="25"/>
      <c r="E16" s="25"/>
      <c r="F16" s="25"/>
      <c r="G16" s="25"/>
      <c r="H16" s="25"/>
      <c r="I16" s="59"/>
      <c r="J16" s="59"/>
      <c r="K16" s="59"/>
      <c r="L16" s="59"/>
      <c r="M16" s="59"/>
      <c r="N16" s="59"/>
      <c r="O16" s="9"/>
      <c r="P16" s="59"/>
      <c r="Q16" s="59"/>
      <c r="R16" s="59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59"/>
      <c r="CD16" s="59"/>
      <c r="CE16" s="59"/>
      <c r="CF16" s="59"/>
      <c r="CG16" s="59"/>
      <c r="CH16" s="59"/>
      <c r="CI16" s="59"/>
      <c r="CJ16" s="59"/>
      <c r="CK16" s="59"/>
      <c r="CL16" s="59"/>
    </row>
    <row r="17" ht="15" customHeight="1">
      <c r="C17" s="9"/>
    </row>
    <row r="18" ht="15" customHeight="1">
      <c r="C18" s="9"/>
    </row>
    <row r="19" ht="15" customHeight="1">
      <c r="C19" s="9"/>
    </row>
    <row r="20" ht="15" customHeight="1">
      <c r="C20" s="9"/>
    </row>
    <row r="21" ht="15" customHeight="1">
      <c r="C21" s="9"/>
    </row>
    <row r="22" ht="15" customHeight="1">
      <c r="C22" s="9"/>
    </row>
    <row r="23" ht="15" customHeight="1">
      <c r="C23" s="9"/>
    </row>
    <row r="24" ht="15" customHeight="1">
      <c r="C24" s="9"/>
    </row>
    <row r="25" ht="15" customHeight="1">
      <c r="C25" s="9"/>
    </row>
    <row r="26" ht="15" customHeight="1">
      <c r="C26" s="9"/>
    </row>
    <row r="27" ht="15" customHeight="1">
      <c r="C27" s="9"/>
    </row>
    <row r="28" ht="15" customHeight="1">
      <c r="C28" s="9"/>
    </row>
    <row r="29" ht="15" customHeight="1">
      <c r="C29" s="9"/>
    </row>
    <row r="30" ht="15" customHeight="1">
      <c r="C30" s="9"/>
    </row>
    <row r="31" ht="15" customHeight="1">
      <c r="C31" s="9"/>
    </row>
    <row r="32" ht="15" customHeight="1">
      <c r="C32" s="9"/>
    </row>
    <row r="33" ht="15" customHeight="1">
      <c r="C33" s="9"/>
    </row>
    <row r="34" ht="15" customHeight="1">
      <c r="C34" s="9"/>
    </row>
    <row r="35" ht="15" customHeight="1">
      <c r="C35" s="9"/>
    </row>
    <row r="36" ht="15" customHeight="1">
      <c r="C36" s="9"/>
    </row>
    <row r="37" ht="15" customHeight="1">
      <c r="C37" s="9"/>
    </row>
    <row r="38" ht="15" customHeight="1">
      <c r="C38" s="9"/>
    </row>
    <row r="39" ht="15" customHeight="1">
      <c r="C39" s="9"/>
    </row>
    <row r="40" ht="15" customHeight="1">
      <c r="C40" s="9"/>
    </row>
    <row r="41" ht="15" customHeight="1">
      <c r="C41" s="9"/>
    </row>
    <row r="42" ht="15" customHeight="1">
      <c r="C42" s="9"/>
    </row>
    <row r="43" ht="15" customHeight="1">
      <c r="C43" s="9"/>
    </row>
    <row r="44" ht="15" customHeight="1">
      <c r="C44" s="9"/>
    </row>
    <row r="45" ht="15" customHeight="1">
      <c r="C45" s="9"/>
    </row>
    <row r="46" ht="15" customHeight="1">
      <c r="C46" s="9"/>
    </row>
    <row r="47" ht="15" customHeight="1">
      <c r="C47" s="9"/>
    </row>
    <row r="48" ht="15" customHeight="1">
      <c r="C48" s="9"/>
    </row>
    <row r="49" ht="15" customHeight="1">
      <c r="C49" s="9"/>
    </row>
    <row r="50" ht="15" customHeight="1">
      <c r="C50" s="9"/>
    </row>
    <row r="51" ht="15" customHeight="1">
      <c r="C51" s="9"/>
    </row>
    <row r="52" ht="15" customHeight="1">
      <c r="C52" s="9"/>
    </row>
    <row r="53" ht="15" customHeight="1">
      <c r="C53" s="9"/>
    </row>
    <row r="54" ht="15" customHeight="1">
      <c r="C54" s="9"/>
    </row>
    <row r="55" ht="15" customHeight="1">
      <c r="C55" s="9"/>
    </row>
    <row r="56" ht="15" customHeight="1">
      <c r="C56" s="9"/>
    </row>
    <row r="57" ht="15" customHeight="1">
      <c r="C57" s="9"/>
    </row>
    <row r="58" ht="15" customHeight="1">
      <c r="C58" s="9"/>
    </row>
    <row r="59" ht="15" customHeight="1">
      <c r="C59" s="9"/>
    </row>
    <row r="60" ht="15" customHeight="1">
      <c r="C60" s="9"/>
    </row>
    <row r="61" ht="15" customHeight="1">
      <c r="C61" s="9"/>
    </row>
    <row r="62" ht="15" customHeight="1">
      <c r="C62" s="9"/>
    </row>
    <row r="63" ht="15" customHeight="1">
      <c r="C63" s="9"/>
    </row>
    <row r="64" ht="15" customHeight="1">
      <c r="C64" s="9"/>
    </row>
    <row r="65" ht="15" customHeight="1">
      <c r="C65" s="9"/>
    </row>
    <row r="66" ht="15" customHeight="1">
      <c r="C66" s="9"/>
    </row>
    <row r="67" ht="15" customHeight="1">
      <c r="C67" s="9"/>
    </row>
    <row r="68" ht="15" customHeight="1">
      <c r="C68" s="9"/>
    </row>
    <row r="69" ht="15" customHeight="1">
      <c r="C69" s="9"/>
    </row>
    <row r="70" ht="15" customHeight="1">
      <c r="C70" s="9"/>
    </row>
    <row r="71" ht="15" customHeight="1">
      <c r="C71" s="9"/>
    </row>
    <row r="72" ht="15" customHeight="1">
      <c r="C72" s="9"/>
    </row>
    <row r="73" ht="15" customHeight="1">
      <c r="C73" s="9"/>
    </row>
    <row r="74" ht="15" customHeight="1">
      <c r="C74" s="9"/>
    </row>
    <row r="75" ht="15" customHeight="1">
      <c r="C75" s="9"/>
    </row>
    <row r="76" ht="15" customHeight="1">
      <c r="C76" s="9"/>
    </row>
    <row r="77" ht="15" customHeight="1">
      <c r="C77" s="9"/>
    </row>
    <row r="78" ht="15" customHeight="1">
      <c r="C78" s="9"/>
    </row>
    <row r="79" ht="15" customHeight="1">
      <c r="C79" s="9"/>
    </row>
    <row r="80" ht="15" customHeight="1">
      <c r="C80" s="9"/>
    </row>
    <row r="81" ht="15" customHeight="1">
      <c r="C81" s="9"/>
    </row>
    <row r="82" ht="15" customHeight="1">
      <c r="C82" s="9"/>
    </row>
    <row r="83" ht="15" customHeight="1">
      <c r="C83" s="9"/>
    </row>
    <row r="84" ht="15" customHeight="1">
      <c r="C84" s="9"/>
    </row>
    <row r="85" ht="15" customHeight="1">
      <c r="C85" s="9"/>
    </row>
    <row r="86" ht="15" customHeight="1">
      <c r="C86" s="9"/>
    </row>
    <row r="87" ht="15" customHeight="1">
      <c r="C87" s="9"/>
    </row>
    <row r="88" ht="15" customHeight="1">
      <c r="C88" s="9"/>
    </row>
    <row r="89" ht="15" customHeight="1">
      <c r="C89" s="9"/>
    </row>
    <row r="90" ht="15" customHeight="1">
      <c r="C90" s="9"/>
    </row>
    <row r="91" ht="15" customHeight="1">
      <c r="C91" s="9"/>
    </row>
    <row r="92" ht="15" customHeight="1">
      <c r="C92" s="9"/>
    </row>
    <row r="93" ht="15" customHeight="1">
      <c r="C93" s="9"/>
    </row>
    <row r="94" ht="15" customHeight="1">
      <c r="C94" s="9"/>
    </row>
    <row r="95" ht="15" customHeight="1">
      <c r="C95" s="9"/>
    </row>
    <row r="96" ht="15" customHeight="1">
      <c r="C96" s="9"/>
    </row>
    <row r="97" ht="15" customHeight="1">
      <c r="C97" s="9"/>
    </row>
    <row r="98" ht="15" customHeight="1">
      <c r="C98" s="9"/>
    </row>
    <row r="99" ht="15" customHeight="1">
      <c r="C99" s="9"/>
    </row>
    <row r="100" ht="15" customHeight="1">
      <c r="C100" s="9"/>
    </row>
    <row r="101" ht="15" customHeight="1">
      <c r="C101" s="9"/>
    </row>
    <row r="102" ht="15" customHeight="1">
      <c r="C102" s="9"/>
    </row>
    <row r="103" ht="15" customHeight="1">
      <c r="C103" s="9"/>
    </row>
    <row r="104" ht="15" customHeight="1">
      <c r="C104" s="9"/>
    </row>
    <row r="105" ht="15" customHeight="1">
      <c r="C105" s="9"/>
    </row>
    <row r="106" ht="15" customHeight="1">
      <c r="C106" s="9"/>
    </row>
    <row r="107" ht="15" customHeight="1">
      <c r="C107" s="9"/>
    </row>
    <row r="108" ht="15" customHeight="1">
      <c r="C108" s="9"/>
    </row>
    <row r="109" ht="15" customHeight="1">
      <c r="C109" s="9"/>
    </row>
    <row r="110" ht="15" customHeight="1">
      <c r="C110" s="9"/>
    </row>
    <row r="111" ht="15" customHeight="1">
      <c r="C111" s="9"/>
    </row>
    <row r="112" ht="15" customHeight="1">
      <c r="C112" s="9"/>
    </row>
    <row r="113" ht="15" customHeight="1">
      <c r="C113" s="9"/>
    </row>
    <row r="114" ht="15" customHeight="1">
      <c r="C114" s="9"/>
    </row>
    <row r="115" ht="15" customHeight="1">
      <c r="C115" s="9"/>
    </row>
    <row r="116" ht="15" customHeight="1">
      <c r="C116" s="9"/>
    </row>
    <row r="117" ht="15" customHeight="1">
      <c r="C117" s="9"/>
    </row>
    <row r="118" ht="15" customHeight="1">
      <c r="C118" s="9"/>
    </row>
    <row r="119" ht="15" customHeight="1">
      <c r="C119" s="9"/>
    </row>
    <row r="120" ht="15" customHeight="1">
      <c r="C120" s="9"/>
    </row>
    <row r="121" ht="15" customHeight="1">
      <c r="C121" s="9"/>
    </row>
    <row r="122" ht="15" customHeight="1">
      <c r="C122" s="9"/>
    </row>
    <row r="123" ht="15" customHeight="1">
      <c r="C123" s="9"/>
    </row>
    <row r="124" ht="15" customHeight="1">
      <c r="C124" s="9"/>
    </row>
    <row r="125" ht="15" customHeight="1">
      <c r="C125" s="9"/>
    </row>
    <row r="126" ht="15" customHeight="1">
      <c r="C126" s="9"/>
    </row>
    <row r="127" ht="15" customHeight="1">
      <c r="C127" s="9"/>
    </row>
    <row r="128" ht="15" customHeight="1">
      <c r="C128" s="9"/>
    </row>
    <row r="129" ht="15" customHeight="1">
      <c r="C129" s="9"/>
    </row>
    <row r="130" ht="15" customHeight="1">
      <c r="C130" s="9"/>
    </row>
    <row r="131" ht="15" customHeight="1">
      <c r="C131" s="9"/>
    </row>
    <row r="132" ht="15" customHeight="1">
      <c r="C132" s="9"/>
    </row>
    <row r="133" ht="15" customHeight="1">
      <c r="C133" s="9"/>
    </row>
    <row r="134" ht="15" customHeight="1">
      <c r="C134" s="9"/>
    </row>
    <row r="135" ht="15" customHeight="1">
      <c r="C135" s="9"/>
    </row>
    <row r="136" ht="15" customHeight="1">
      <c r="C136" s="9"/>
    </row>
    <row r="137" ht="15" customHeight="1">
      <c r="C137" s="9"/>
    </row>
    <row r="138" ht="15" customHeight="1">
      <c r="C138" s="9"/>
    </row>
    <row r="139" ht="15" customHeight="1">
      <c r="C139" s="9"/>
    </row>
    <row r="140" ht="15" customHeight="1">
      <c r="C140" s="9"/>
    </row>
    <row r="141" ht="15" customHeight="1">
      <c r="C141" s="9"/>
    </row>
    <row r="142" ht="15" customHeight="1">
      <c r="C142" s="9"/>
    </row>
    <row r="143" ht="15" customHeight="1">
      <c r="C143" s="9"/>
    </row>
    <row r="144" ht="15" customHeight="1">
      <c r="C144" s="9"/>
    </row>
    <row r="145" ht="15" customHeight="1">
      <c r="C145" s="9"/>
    </row>
    <row r="146" ht="15" customHeight="1">
      <c r="C146" s="9"/>
    </row>
    <row r="147" ht="15" customHeight="1">
      <c r="C147" s="9"/>
    </row>
    <row r="148" ht="15" customHeight="1">
      <c r="C148" s="9"/>
    </row>
    <row r="149" ht="15" customHeight="1">
      <c r="C149" s="9"/>
    </row>
    <row r="150" ht="15" customHeight="1">
      <c r="C150" s="9"/>
    </row>
    <row r="151" ht="15" customHeight="1">
      <c r="C151" s="9"/>
    </row>
    <row r="152" ht="15" customHeight="1">
      <c r="C152" s="9"/>
    </row>
    <row r="153" ht="15" customHeight="1">
      <c r="C153" s="9"/>
    </row>
    <row r="154" ht="15" customHeight="1">
      <c r="C154" s="9"/>
    </row>
    <row r="155" ht="15" customHeight="1">
      <c r="C155" s="9"/>
    </row>
    <row r="156" ht="15" customHeight="1">
      <c r="C156" s="9"/>
    </row>
    <row r="157" ht="15" customHeight="1">
      <c r="C157" s="9"/>
    </row>
    <row r="158" ht="15" customHeight="1">
      <c r="C158" s="9"/>
    </row>
    <row r="159" ht="15" customHeight="1">
      <c r="C159" s="9"/>
    </row>
    <row r="160" ht="15" customHeight="1">
      <c r="C160" s="9"/>
    </row>
    <row r="161" ht="15" customHeight="1">
      <c r="C161" s="9"/>
    </row>
    <row r="162" ht="15" customHeight="1">
      <c r="C162" s="9"/>
    </row>
    <row r="163" ht="15" customHeight="1">
      <c r="C163" s="9"/>
    </row>
    <row r="164" ht="15" customHeight="1">
      <c r="C164" s="9"/>
    </row>
    <row r="165" ht="15" customHeight="1">
      <c r="C165" s="9"/>
    </row>
    <row r="166" ht="15" customHeight="1">
      <c r="C166" s="9"/>
    </row>
    <row r="167" ht="15" customHeight="1">
      <c r="C167" s="9"/>
    </row>
    <row r="168" ht="15" customHeight="1">
      <c r="C168" s="9"/>
    </row>
    <row r="169" ht="15" customHeight="1">
      <c r="C169" s="9"/>
    </row>
    <row r="170" ht="15" customHeight="1">
      <c r="C170" s="9"/>
    </row>
    <row r="171" ht="15" customHeight="1">
      <c r="C171" s="9"/>
    </row>
    <row r="172" ht="15" customHeight="1">
      <c r="C172" s="9"/>
    </row>
    <row r="173" ht="15" customHeight="1">
      <c r="C173" s="9"/>
    </row>
    <row r="174" ht="15" customHeight="1">
      <c r="C174" s="9"/>
    </row>
    <row r="175" ht="15" customHeight="1">
      <c r="C175" s="9"/>
    </row>
    <row r="176" ht="15" customHeight="1">
      <c r="C176" s="9"/>
    </row>
    <row r="177" ht="15" customHeight="1">
      <c r="C177" s="9"/>
    </row>
    <row r="178" ht="15" customHeight="1">
      <c r="C178" s="9"/>
    </row>
    <row r="179" ht="15" customHeight="1">
      <c r="C179" s="9"/>
    </row>
    <row r="180" ht="15" customHeight="1">
      <c r="C180" s="9"/>
    </row>
    <row r="181" ht="15" customHeight="1">
      <c r="C181" s="9"/>
    </row>
    <row r="182" ht="15" customHeight="1">
      <c r="C182" s="9"/>
    </row>
    <row r="183" ht="15" customHeight="1">
      <c r="C183" s="9"/>
    </row>
    <row r="184" ht="15" customHeight="1">
      <c r="C184" s="9"/>
    </row>
    <row r="185" ht="15" customHeight="1">
      <c r="C185" s="9"/>
    </row>
    <row r="186" ht="15" customHeight="1">
      <c r="C186" s="9"/>
    </row>
    <row r="187" ht="15" customHeight="1">
      <c r="C187" s="9"/>
    </row>
    <row r="188" ht="15" customHeight="1">
      <c r="C188" s="9"/>
    </row>
    <row r="189" ht="15" customHeight="1">
      <c r="C189" s="9"/>
    </row>
    <row r="190" ht="15" customHeight="1">
      <c r="C190" s="9"/>
    </row>
    <row r="191" ht="15" customHeight="1">
      <c r="C191" s="9"/>
    </row>
    <row r="192" ht="15" customHeight="1">
      <c r="C192" s="9"/>
    </row>
    <row r="193" ht="15" customHeight="1">
      <c r="C193" s="9"/>
    </row>
    <row r="194" ht="15" customHeight="1">
      <c r="C194" s="9"/>
    </row>
    <row r="195" ht="15" customHeight="1">
      <c r="C195" s="9"/>
    </row>
    <row r="196" ht="15" customHeight="1">
      <c r="C196" s="9"/>
    </row>
    <row r="197" ht="15" customHeight="1">
      <c r="C197" s="9"/>
    </row>
    <row r="198" ht="15" customHeight="1">
      <c r="C198" s="9"/>
    </row>
    <row r="199" ht="15" customHeight="1">
      <c r="C199" s="9"/>
    </row>
    <row r="200" ht="15" customHeight="1">
      <c r="C200" s="9"/>
    </row>
  </sheetData>
  <mergeCells count="31">
    <mergeCell ref="AK3:AN3"/>
    <mergeCell ref="A1:H1"/>
    <mergeCell ref="N3:V3"/>
    <mergeCell ref="BN3:BQ3"/>
    <mergeCell ref="AY3:BB3"/>
    <mergeCell ref="CI3:CI4"/>
    <mergeCell ref="BC3:BD3"/>
    <mergeCell ref="BY3:BZ3"/>
    <mergeCell ref="AS3:AV3"/>
    <mergeCell ref="BS3:BT3"/>
    <mergeCell ref="J3:M3"/>
    <mergeCell ref="Y3:AB3"/>
    <mergeCell ref="A16:H16"/>
    <mergeCell ref="A3:A4"/>
    <mergeCell ref="B3:H3"/>
    <mergeCell ref="CL5:CL15"/>
    <mergeCell ref="BE3:BF3"/>
    <mergeCell ref="CI5:CI15"/>
    <mergeCell ref="CJ3:CL3"/>
    <mergeCell ref="BG3:BK3"/>
    <mergeCell ref="A2:H2"/>
    <mergeCell ref="F5:F15"/>
    <mergeCell ref="AG3:AJ3"/>
    <mergeCell ref="AC3:AF3"/>
    <mergeCell ref="CA3:CB3"/>
    <mergeCell ref="AO3:AR3"/>
    <mergeCell ref="BU3:BX3"/>
    <mergeCell ref="W3:X3"/>
    <mergeCell ref="CC3:CH3"/>
    <mergeCell ref="BM3:BM4"/>
    <mergeCell ref="AW3:AX3"/>
  </mergeCells>
  <phoneticPr fontId="1" type="noConversion"/>
  <dataValidations count="1">
    <dataValidation type="list" allowBlank="1" showInputMessage="1" showErrorMessage="1" prompt="㧐禵_x0002_" sqref="C2:C3 C5:C15 C17:C200">
      <formula1>"统一地址运营,数字孪生基座,数智网格化系统,地址资源运营平台,智域地图平台,空间聚合服务,警情时空分析,110实时警情定位服务,警务社区可视化平台,数据工程,数据资产,数据服务,数据运营,项目定制,项目分包"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9" customWidth="1" style="339"/>
    <col min="2" max="2" width="41.666015625" customWidth="1" style="339"/>
    <col min="3" max="3" width="18.498046875" customWidth="1" style="339"/>
    <col min="4" max="4" width="14.1650390625" customWidth="1" style="339"/>
    <col min="6" max="6" width="66.3310546875" customWidth="1" style="339"/>
    <col min="7" max="12" width="9.9990234375" hidden="1" style="339"/>
    <col min="13" max="13" width="16.3330078125" hidden="1" customWidth="1" style="339"/>
    <col min="14" max="14" width="23.33203125" hidden="1" customWidth="1" style="339"/>
    <col min="15" max="16" width="9.9990234375" hidden="1" style="339"/>
  </cols>
  <sheetData>
    <row r="1" ht="16.5" customHeight="1" hidden="1"/>
    <row r="2" ht="16.5" customHeight="1" hidden="1">
      <c r="A2" s="105" t="s">
        <v>513</v>
      </c>
    </row>
    <row r="3" ht="16.5" customHeight="1" hidden="1">
      <c r="A3" s="106" t="s">
        <v>514</v>
      </c>
    </row>
    <row r="4" ht="16.5" customHeight="1" hidden="1">
      <c r="A4" s="106" t="s">
        <v>515</v>
      </c>
    </row>
    <row r="5" ht="16.5" customHeight="1" hidden="1">
      <c r="A5" s="106" t="s">
        <v>516</v>
      </c>
    </row>
    <row r="6" ht="16.5" customHeight="1" hidden="1">
      <c r="A6" s="106" t="s">
        <v>517</v>
      </c>
      <c r="C6" s="106" t="n">
        <f>3000/17000</f>
        <v>0.176470588235294</v>
      </c>
      <c r="F6" s="106" t="n">
        <v>6500</v>
      </c>
    </row>
    <row r="7" ht="16.5" customHeight="1" hidden="1">
      <c r="A7" s="106" t="s">
        <v>518</v>
      </c>
      <c r="E7" s="106" t="n">
        <v>70000</v>
      </c>
      <c r="F7" s="106" t="n">
        <v>8500</v>
      </c>
    </row>
    <row r="8" ht="16.5" customHeight="1" hidden="1">
      <c r="A8" s="105" t="s">
        <v>519</v>
      </c>
      <c r="B8" s="106" t="s">
        <v>520</v>
      </c>
      <c r="C8" s="105" t="s">
        <v>521</v>
      </c>
    </row>
    <row r="9" ht="16.5" customHeight="1" hidden="1">
      <c r="A9" s="106" t="s">
        <v>522</v>
      </c>
      <c r="B9" s="106" t="s">
        <v>522</v>
      </c>
      <c r="C9" s="105" t="s">
        <v>523</v>
      </c>
      <c r="E9" s="106" t="n">
        <f>($E$7-$F$7)*0.8+$F$7*0.95</f>
        <v>57275</v>
      </c>
      <c r="F9" s="106" t="n">
        <f>E9/$E$7</f>
        <v>0.818214285714286</v>
      </c>
    </row>
    <row r="10" ht="16.5" customHeight="1" hidden="1">
      <c r="A10" s="106" t="s">
        <v>524</v>
      </c>
      <c r="B10" s="106" t="s">
        <v>524</v>
      </c>
      <c r="C10" s="105" t="s">
        <v>313</v>
      </c>
    </row>
    <row r="11" ht="16.5" customHeight="1" hidden="1">
      <c r="A11" s="106" t="s">
        <v>525</v>
      </c>
      <c r="B11" s="106" t="s">
        <v>526</v>
      </c>
      <c r="C11" s="105" t="s">
        <v>527</v>
      </c>
      <c r="E11" s="106" t="n">
        <f>($E$7-$F$7)*0.08+$F$7*0.05</f>
        <v>5345</v>
      </c>
      <c r="F11" s="106" t="n">
        <f>E11/$E$7</f>
        <v>0.0763571428571429</v>
      </c>
    </row>
    <row r="12" ht="29.25" customHeight="1" hidden="1">
      <c r="A12" s="106" t="s">
        <v>528</v>
      </c>
      <c r="B12" s="107" t="s">
        <v>529</v>
      </c>
      <c r="C12" s="105" t="s">
        <v>530</v>
      </c>
      <c r="E12" s="106" t="n">
        <f>($E$7-$F$7)*0.86+$F$7*0.95</f>
        <v>60965</v>
      </c>
      <c r="F12" s="106" t="n">
        <f>E12/$E$7</f>
        <v>0.870928571428571</v>
      </c>
    </row>
    <row r="13" ht="16.5" customHeight="1" hidden="1">
      <c r="C13" s="106" t="s">
        <v>531</v>
      </c>
      <c r="D13" s="106" t="s">
        <v>532</v>
      </c>
    </row>
    <row r="14" ht="16.5" customHeight="1" hidden="1">
      <c r="A14" s="106" t="s">
        <v>533</v>
      </c>
      <c r="B14" s="105" t="n">
        <v>2400000</v>
      </c>
      <c r="C14" s="105" t="n">
        <f>B14*0.4</f>
        <v>960000</v>
      </c>
      <c r="D14" s="105" t="n">
        <f>B14*0.2</f>
        <v>480000</v>
      </c>
      <c r="F14" s="106" t="n">
        <f>8400/70000</f>
        <v>0.12</v>
      </c>
    </row>
    <row r="15" ht="16.5" customHeight="1" hidden="1">
      <c r="A15" s="106" t="s">
        <v>534</v>
      </c>
      <c r="B15" s="105" t="n">
        <v>150000</v>
      </c>
      <c r="C15" s="105" t="n">
        <f>B15</f>
        <v>150000</v>
      </c>
      <c r="D15" s="105" t="n">
        <f>B15</f>
        <v>150000</v>
      </c>
    </row>
    <row r="16" ht="16.5" customHeight="1" hidden="1">
      <c r="E16" s="106" t="s">
        <v>535</v>
      </c>
      <c r="F16" s="106" t="s">
        <v>13</v>
      </c>
    </row>
    <row r="17" ht="16.5" customHeight="1" hidden="1">
      <c r="C17" s="106" t="s">
        <v>536</v>
      </c>
    </row>
    <row r="18" ht="16.5" customHeight="1" hidden="1">
      <c r="C18" s="105"/>
      <c r="D18" s="105"/>
    </row>
    <row r="19" ht="16.5" customHeight="1" hidden="1"/>
    <row r="20" ht="16.5" customHeight="1" hidden="1">
      <c r="A20" s="106" t="s">
        <v>537</v>
      </c>
      <c r="C20" s="106" t="s">
        <v>538</v>
      </c>
      <c r="E20" s="105" t="s">
        <v>539</v>
      </c>
      <c r="F20" s="105" t="s">
        <v>540</v>
      </c>
      <c r="I20" s="106" t="s">
        <v>541</v>
      </c>
      <c r="L20" s="106" t="s">
        <v>542</v>
      </c>
      <c r="N20" s="109"/>
    </row>
    <row r="21" ht="27.75" customHeight="1" hidden="1">
      <c r="A21" s="107" t="s">
        <v>543</v>
      </c>
      <c r="B21" s="108" t="s">
        <v>313</v>
      </c>
      <c r="C21" s="105" t="s">
        <v>313</v>
      </c>
      <c r="D21" s="108" t="n">
        <f>2*11*1695+1*11*320</f>
        <v>40810</v>
      </c>
      <c r="E21" s="105" t="n">
        <v>22</v>
      </c>
      <c r="F21" s="105" t="n">
        <v>11</v>
      </c>
      <c r="N21" s="114"/>
      <c r="O21" s="114"/>
    </row>
    <row r="22" ht="32.25" customHeight="1" hidden="1">
      <c r="A22" s="107" t="s">
        <v>544</v>
      </c>
      <c r="B22" s="108" t="s">
        <v>313</v>
      </c>
      <c r="C22" s="105" t="s">
        <v>313</v>
      </c>
      <c r="D22" s="108" t="n">
        <f>2*11*1695+8*4*320+6*7*320</f>
        <v>60970</v>
      </c>
      <c r="E22" s="105" t="n">
        <v>22</v>
      </c>
      <c r="F22" s="105" t="n">
        <f>8*4+6*7</f>
        <v>74</v>
      </c>
      <c r="N22" s="115" t="s">
        <v>545</v>
      </c>
      <c r="O22" s="116"/>
    </row>
    <row r="23" ht="16.5" customHeight="1" hidden="1">
      <c r="A23" s="107" t="s">
        <v>546</v>
      </c>
      <c r="B23" s="106" t="n">
        <f>SUM(C14:C15)/11*2</f>
        <v>201818.181818182</v>
      </c>
      <c r="C23" s="106" t="n">
        <f>8500*4</f>
        <v>34000</v>
      </c>
      <c r="D23" s="108" t="n">
        <f>C23/200*320+2*1695</f>
        <v>57790</v>
      </c>
      <c r="E23" s="105" t="n">
        <v>2</v>
      </c>
      <c r="F23" s="105" t="n">
        <v>80</v>
      </c>
      <c r="I23" s="106" t="s">
        <v>547</v>
      </c>
      <c r="J23" s="106" t="n">
        <v>120</v>
      </c>
      <c r="L23" s="106" t="s">
        <v>548</v>
      </c>
      <c r="N23" s="114" t="s">
        <v>549</v>
      </c>
      <c r="O23" s="114" t="s">
        <v>550</v>
      </c>
    </row>
    <row r="24" ht="16.5" customHeight="1" hidden="1">
      <c r="A24" s="107" t="s">
        <v>551</v>
      </c>
      <c r="B24" s="106" t="n">
        <f>SUM(D14:D15)/11*9</f>
        <v>515454.545454546</v>
      </c>
      <c r="C24" s="106" t="n">
        <f>6500*7</f>
        <v>45500</v>
      </c>
      <c r="D24" s="108" t="n">
        <f>C24/200*320+9*1695</f>
        <v>88055</v>
      </c>
      <c r="E24" s="105" t="n">
        <v>9</v>
      </c>
      <c r="F24" s="105" t="n">
        <v>292.5</v>
      </c>
      <c r="I24" s="106" t="s">
        <v>552</v>
      </c>
      <c r="J24" s="106" t="n">
        <v>70</v>
      </c>
      <c r="L24" s="106" t="s">
        <v>553</v>
      </c>
      <c r="M24" s="106" t="s">
        <v>554</v>
      </c>
      <c r="N24" s="117" t="s">
        <v>555</v>
      </c>
      <c r="O24" s="118" t="n">
        <v>10</v>
      </c>
    </row>
    <row r="25" ht="16.5" customHeight="1" hidden="1">
      <c r="A25" s="106" t="s">
        <v>556</v>
      </c>
      <c r="D25" s="105" t="n">
        <f>10*1695</f>
        <v>16950</v>
      </c>
      <c r="E25" s="105" t="n">
        <v>10</v>
      </c>
      <c r="F25" s="105"/>
      <c r="I25" s="106" t="s">
        <v>557</v>
      </c>
      <c r="J25" s="106" t="n">
        <v>60</v>
      </c>
      <c r="L25" s="106" t="s">
        <v>558</v>
      </c>
      <c r="M25" s="106" t="s">
        <v>559</v>
      </c>
      <c r="N25" s="117" t="s">
        <v>560</v>
      </c>
      <c r="O25" s="118" t="n">
        <v>12</v>
      </c>
    </row>
    <row r="26" ht="16.5" customHeight="1" hidden="1">
      <c r="C26" s="106" t="n">
        <f>C23/200</f>
        <v>170</v>
      </c>
      <c r="D26" s="108" t="n">
        <f>SUM(D21:D25)</f>
        <v>264575</v>
      </c>
      <c r="E26" s="105" t="n">
        <f>SUM(E21:E25)</f>
        <v>65</v>
      </c>
      <c r="F26" s="105" t="n">
        <f>SUM(F21:F25)</f>
        <v>457.5</v>
      </c>
      <c r="L26" s="106" t="s">
        <v>561</v>
      </c>
      <c r="M26" s="106" t="s">
        <v>559</v>
      </c>
      <c r="N26" s="117" t="s">
        <v>562</v>
      </c>
      <c r="O26" s="118" t="n">
        <v>26</v>
      </c>
    </row>
    <row r="27" ht="16.5" customHeight="1">
      <c r="I27" s="106" t="s">
        <v>563</v>
      </c>
      <c r="J27" s="106" t="n">
        <v>18</v>
      </c>
      <c r="L27" s="106" t="s">
        <v>564</v>
      </c>
      <c r="M27" s="106" t="s">
        <v>559</v>
      </c>
      <c r="N27" s="117" t="s">
        <v>565</v>
      </c>
      <c r="O27" s="118" t="n">
        <v>237</v>
      </c>
    </row>
    <row r="28" ht="16.5" customHeight="1">
      <c r="M28" s="106" t="s">
        <v>559</v>
      </c>
      <c r="N28" s="117" t="s">
        <v>566</v>
      </c>
      <c r="O28" s="118" t="n">
        <v>9</v>
      </c>
    </row>
    <row r="29" ht="16.5" customHeight="1">
      <c r="I29" s="106" t="s">
        <v>567</v>
      </c>
      <c r="J29" s="106" t="n">
        <v>227351</v>
      </c>
      <c r="M29" s="106" t="s">
        <v>559</v>
      </c>
      <c r="N29" s="117" t="s">
        <v>568</v>
      </c>
      <c r="O29" s="118" t="n">
        <v>67</v>
      </c>
    </row>
    <row r="30" ht="16.5" customHeight="1">
      <c r="I30" s="106" t="s">
        <v>569</v>
      </c>
      <c r="J30" s="106" t="n">
        <v>10286</v>
      </c>
      <c r="M30" s="106" t="s">
        <v>559</v>
      </c>
      <c r="N30" s="117" t="s">
        <v>570</v>
      </c>
      <c r="O30" s="118" t="n">
        <v>196</v>
      </c>
    </row>
    <row r="31" ht="16.5" customHeight="1">
      <c r="A31" s="105"/>
      <c r="B31" s="105"/>
      <c r="C31" s="105" t="n">
        <v>1696</v>
      </c>
      <c r="D31" s="105" t="n">
        <v>320</v>
      </c>
      <c r="E31" s="105"/>
      <c r="F31" s="105"/>
      <c r="I31" s="106" t="s">
        <v>571</v>
      </c>
      <c r="J31" s="106" t="n">
        <v>4043</v>
      </c>
      <c r="L31" s="106" t="s">
        <v>542</v>
      </c>
      <c r="M31" s="106" t="s">
        <v>559</v>
      </c>
      <c r="N31" s="117" t="s">
        <v>572</v>
      </c>
      <c r="O31" s="118" t="n">
        <v>758</v>
      </c>
    </row>
    <row r="32" ht="16.5" customHeight="1">
      <c r="A32" s="109" t="s">
        <v>573</v>
      </c>
      <c r="B32" s="109" t="s">
        <v>574</v>
      </c>
      <c r="C32" s="109" t="s">
        <v>539</v>
      </c>
      <c r="D32" s="109" t="s">
        <v>540</v>
      </c>
      <c r="E32" s="109" t="s">
        <v>575</v>
      </c>
      <c r="F32" s="109" t="s">
        <v>22</v>
      </c>
      <c r="I32" s="106" t="s">
        <v>576</v>
      </c>
      <c r="J32" s="106" t="n">
        <v>61945</v>
      </c>
      <c r="L32" s="106" t="s">
        <v>577</v>
      </c>
      <c r="M32" s="106" t="s">
        <v>559</v>
      </c>
      <c r="N32" s="117" t="s">
        <v>578</v>
      </c>
      <c r="O32" s="118" t="n">
        <v>2065</v>
      </c>
    </row>
    <row r="33" ht="163.5" customHeight="1">
      <c r="A33" s="110" t="s">
        <v>579</v>
      </c>
      <c r="B33" s="491" t="s">
        <v>580</v>
      </c>
      <c r="C33" s="105" t="n">
        <v>10</v>
      </c>
      <c r="D33" s="105"/>
      <c r="E33" s="105" t="n">
        <f>C33*$C$31</f>
        <v>16960</v>
      </c>
      <c r="F33" s="492" t="s">
        <v>581</v>
      </c>
      <c r="I33" s="106" t="s">
        <v>582</v>
      </c>
      <c r="J33" s="106" t="n">
        <v>3405</v>
      </c>
      <c r="L33" s="106" t="s">
        <v>583</v>
      </c>
      <c r="M33" s="119" t="s">
        <v>584</v>
      </c>
      <c r="N33" s="120" t="s">
        <v>585</v>
      </c>
      <c r="O33" s="121" t="n">
        <v>68</v>
      </c>
    </row>
    <row r="34" ht="95.25" customHeight="1">
      <c r="A34" s="110" t="s">
        <v>586</v>
      </c>
      <c r="B34" s="493" t="s">
        <v>587</v>
      </c>
      <c r="C34" s="112" t="n">
        <f>ROUND(77*4*10/60/8,0)</f>
        <v>6</v>
      </c>
      <c r="D34" s="113" t="n">
        <f>4800*4/250</f>
        <v>76.8</v>
      </c>
      <c r="E34" s="113" t="n">
        <f>C34*$C$31+D34*$D$31</f>
        <v>34752</v>
      </c>
      <c r="F34" s="494" t="s">
        <v>588</v>
      </c>
      <c r="M34" s="119" t="s">
        <v>584</v>
      </c>
      <c r="N34" s="120" t="s">
        <v>589</v>
      </c>
      <c r="O34" s="121" t="n">
        <v>140</v>
      </c>
    </row>
    <row r="35" ht="101.25" customHeight="1">
      <c r="A35" s="109" t="s">
        <v>590</v>
      </c>
      <c r="B35" s="495" t="s">
        <v>587</v>
      </c>
      <c r="C35" s="113" t="n">
        <f>ROUND(43*7*10/60/8,0)</f>
        <v>6</v>
      </c>
      <c r="D35" s="113" t="n">
        <f>2400*7/250</f>
        <v>67.2</v>
      </c>
      <c r="E35" s="113" t="n">
        <f>C35*$C$31+D35*$D$31</f>
        <v>31680</v>
      </c>
      <c r="F35" s="496" t="s">
        <v>591</v>
      </c>
      <c r="M35" s="119"/>
      <c r="N35" s="120"/>
      <c r="O35" s="121"/>
    </row>
    <row r="36" ht="36" customHeight="1">
      <c r="A36" s="497" t="s">
        <v>592</v>
      </c>
      <c r="B36" s="111" t="s">
        <v>593</v>
      </c>
      <c r="C36" s="105" t="n">
        <v>4</v>
      </c>
      <c r="D36" s="105" t="n">
        <v>40</v>
      </c>
      <c r="E36" s="113" t="n">
        <f>C36*$C$31+D36*$D$31</f>
        <v>19584</v>
      </c>
      <c r="F36" s="105"/>
      <c r="I36" s="106" t="s">
        <v>594</v>
      </c>
      <c r="J36" s="106" t="n">
        <v>10555</v>
      </c>
      <c r="L36" s="106" t="s">
        <v>595</v>
      </c>
      <c r="M36" s="119" t="s">
        <v>584</v>
      </c>
      <c r="N36" s="120" t="s">
        <v>596</v>
      </c>
      <c r="O36" s="121" t="n">
        <v>68</v>
      </c>
    </row>
    <row r="37" ht="36" customHeight="1">
      <c r="A37" s="109" t="s">
        <v>597</v>
      </c>
      <c r="B37" s="498" t="s">
        <v>598</v>
      </c>
      <c r="C37" s="105" t="n">
        <v>9</v>
      </c>
      <c r="E37" s="113" t="n">
        <f>C37*$C$31+D37*$D$31</f>
        <v>15264</v>
      </c>
      <c r="F37" s="106" t="s">
        <v>599</v>
      </c>
      <c r="M37" s="119"/>
      <c r="N37" s="120"/>
      <c r="O37" s="121"/>
    </row>
    <row r="38" ht="29.25" customHeight="1">
      <c r="A38" s="109" t="s">
        <v>600</v>
      </c>
      <c r="C38" s="105" t="n">
        <v>4</v>
      </c>
      <c r="E38" s="105" t="n">
        <f>C38*1696</f>
        <v>6784</v>
      </c>
      <c r="I38" s="106" t="s">
        <v>601</v>
      </c>
      <c r="J38" s="106" t="n">
        <v>2811</v>
      </c>
      <c r="L38" s="106" t="s">
        <v>602</v>
      </c>
      <c r="M38" s="119" t="s">
        <v>584</v>
      </c>
      <c r="N38" s="120" t="s">
        <v>603</v>
      </c>
      <c r="O38" s="121" t="n">
        <v>46</v>
      </c>
    </row>
    <row r="39" ht="16.5" customHeight="1">
      <c r="B39" s="106" t="s">
        <v>604</v>
      </c>
      <c r="C39" s="105" t="n">
        <f>SUM(C33:C38)</f>
        <v>39</v>
      </c>
      <c r="D39" s="105" t="n">
        <f>SUM(D33:D38)</f>
        <v>184</v>
      </c>
      <c r="E39" s="105"/>
      <c r="L39" s="119"/>
      <c r="M39" s="119"/>
      <c r="N39" s="120"/>
      <c r="O39" s="121"/>
    </row>
    <row r="40" ht="16.5" customHeight="1">
      <c r="B40" s="106" t="s">
        <v>605</v>
      </c>
      <c r="E40" s="105" t="n">
        <f>SUM(E33:E38)</f>
        <v>125024</v>
      </c>
      <c r="I40" s="106" t="s">
        <v>606</v>
      </c>
      <c r="J40" s="106" t="n">
        <v>12415</v>
      </c>
      <c r="L40" s="119" t="s">
        <v>607</v>
      </c>
      <c r="M40" s="119" t="s">
        <v>584</v>
      </c>
      <c r="N40" s="120" t="s">
        <v>608</v>
      </c>
      <c r="O40" s="121" t="n">
        <v>46</v>
      </c>
    </row>
    <row r="41" ht="16.5" customHeight="1">
      <c r="L41" s="106" t="s">
        <v>609</v>
      </c>
      <c r="M41" s="106" t="s">
        <v>610</v>
      </c>
      <c r="N41" s="117" t="s">
        <v>611</v>
      </c>
      <c r="O41" s="118" t="n">
        <v>230</v>
      </c>
    </row>
    <row r="42" ht="16.5" customHeight="1">
      <c r="L42" s="106" t="s">
        <v>612</v>
      </c>
      <c r="M42" s="106" t="s">
        <v>610</v>
      </c>
      <c r="N42" s="117" t="s">
        <v>613</v>
      </c>
      <c r="O42" s="118" t="n">
        <v>196</v>
      </c>
    </row>
    <row r="43" ht="16.5" customHeight="1">
      <c r="L43" s="106" t="s">
        <v>614</v>
      </c>
      <c r="M43" s="106" t="s">
        <v>610</v>
      </c>
      <c r="N43" s="117" t="s">
        <v>615</v>
      </c>
      <c r="O43" s="118" t="n">
        <v>37</v>
      </c>
    </row>
    <row r="44" ht="16.5" customHeight="1">
      <c r="L44" s="106" t="s">
        <v>616</v>
      </c>
      <c r="M44" s="106" t="s">
        <v>610</v>
      </c>
      <c r="N44" s="117" t="s">
        <v>617</v>
      </c>
      <c r="O44" s="118" t="n">
        <v>11</v>
      </c>
    </row>
    <row r="45" ht="16.5" customHeight="1">
      <c r="L45" s="106" t="s">
        <v>618</v>
      </c>
      <c r="M45" s="119" t="s">
        <v>619</v>
      </c>
      <c r="N45" s="120" t="s">
        <v>620</v>
      </c>
      <c r="O45" s="121" t="n">
        <v>108</v>
      </c>
    </row>
    <row r="46" ht="16.5" customHeight="1">
      <c r="L46" s="106" t="s">
        <v>621</v>
      </c>
      <c r="M46" s="106" t="s">
        <v>622</v>
      </c>
      <c r="N46" s="117" t="s">
        <v>623</v>
      </c>
      <c r="O46" s="118" t="n">
        <v>392</v>
      </c>
    </row>
    <row r="47" ht="16.5" customHeight="1">
      <c r="M47" s="106" t="s">
        <v>622</v>
      </c>
      <c r="N47" s="117" t="s">
        <v>624</v>
      </c>
      <c r="O47" s="118" t="n">
        <v>310</v>
      </c>
    </row>
    <row r="48" ht="16.5" customHeight="1">
      <c r="M48" s="106" t="s">
        <v>622</v>
      </c>
      <c r="N48" s="117" t="s">
        <v>625</v>
      </c>
      <c r="O48" s="118" t="n">
        <v>40</v>
      </c>
    </row>
    <row r="49" ht="16.5" customHeight="1">
      <c r="M49" s="106" t="s">
        <v>622</v>
      </c>
      <c r="N49" s="117" t="s">
        <v>626</v>
      </c>
      <c r="O49" s="118" t="n">
        <v>1027</v>
      </c>
    </row>
    <row r="50" ht="16.5" customHeight="1">
      <c r="M50" s="106" t="s">
        <v>622</v>
      </c>
      <c r="N50" s="117" t="s">
        <v>627</v>
      </c>
      <c r="O50" s="118" t="n">
        <v>61</v>
      </c>
    </row>
    <row r="51" ht="27.75" customHeight="1">
      <c r="M51" s="106" t="s">
        <v>622</v>
      </c>
      <c r="N51" s="117" t="s">
        <v>628</v>
      </c>
      <c r="O51" s="118" t="n">
        <v>28</v>
      </c>
    </row>
    <row r="52" ht="16.5" customHeight="1">
      <c r="M52" s="106" t="s">
        <v>622</v>
      </c>
      <c r="N52" s="117" t="s">
        <v>629</v>
      </c>
      <c r="O52" s="118" t="n">
        <v>1311</v>
      </c>
    </row>
    <row r="53" ht="16.5" customHeight="1">
      <c r="M53" s="106" t="s">
        <v>610</v>
      </c>
      <c r="N53" s="117" t="s">
        <v>630</v>
      </c>
      <c r="O53" s="118" t="n">
        <v>0</v>
      </c>
    </row>
    <row r="54" ht="16.5" customHeight="1">
      <c r="M54" s="119" t="s">
        <v>631</v>
      </c>
      <c r="N54" s="120" t="s">
        <v>631</v>
      </c>
      <c r="O54" s="121" t="n">
        <v>518</v>
      </c>
    </row>
    <row r="55" ht="16.5" customHeight="1">
      <c r="M55" s="106" t="s">
        <v>632</v>
      </c>
      <c r="N55" s="117" t="s">
        <v>633</v>
      </c>
      <c r="O55" s="118" t="n">
        <v>10</v>
      </c>
    </row>
    <row r="56" ht="16.5" customHeight="1">
      <c r="M56" s="106" t="s">
        <v>632</v>
      </c>
      <c r="N56" s="117" t="s">
        <v>634</v>
      </c>
      <c r="O56" s="118" t="n">
        <v>44</v>
      </c>
    </row>
    <row r="57" ht="16.5" customHeight="1">
      <c r="M57" s="106" t="s">
        <v>632</v>
      </c>
      <c r="N57" s="117" t="s">
        <v>635</v>
      </c>
      <c r="O57" s="118" t="n">
        <v>7</v>
      </c>
    </row>
  </sheetData>
  <mergeCells count="1">
    <mergeCell ref="N22:O22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1" max="1" width="6.498046875" customWidth="1" style="9"/>
    <col min="2" max="2" width="20.4990234375" customWidth="1" style="9"/>
    <col min="3" max="3" width="19.5" customWidth="1" style="9"/>
    <col min="4" max="7" width="20.4990234375" customWidth="1" style="9"/>
    <col min="8" max="8" width="22.998046875" customWidth="1" style="9"/>
    <col min="9" max="9" width="17.8330078125" customWidth="1" style="9"/>
    <col min="10" max="10" width="19.998046875" customWidth="1" style="9"/>
    <col min="11" max="11" width="26.1650390625" customWidth="1" style="9"/>
    <col min="12" max="12" width="25.5" customWidth="1" style="9"/>
    <col min="13" max="16" width="8.8330078125" style="9"/>
    <col min="17" max="40" width="8.8330078125" style="6"/>
  </cols>
  <sheetData>
    <row r="1" ht="52.5" customHeight="1">
      <c r="A1" s="499" t="s">
        <v>636</v>
      </c>
      <c r="B1" s="76"/>
      <c r="C1" s="77"/>
      <c r="D1" s="76"/>
      <c r="E1" s="77"/>
      <c r="F1" s="76"/>
      <c r="G1" s="15"/>
      <c r="H1" s="15"/>
      <c r="I1" s="15"/>
      <c r="J1" s="15"/>
      <c r="K1" s="15"/>
    </row>
    <row r="2" ht="34.5" customHeight="1">
      <c r="A2" s="78" t="s">
        <v>637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ht="46.5" customHeight="1">
      <c r="A3" s="80" t="s">
        <v>638</v>
      </c>
      <c r="B3" s="25"/>
      <c r="C3" s="25"/>
      <c r="D3" s="25"/>
      <c r="E3" s="25"/>
      <c r="F3" s="25"/>
      <c r="G3" s="25"/>
      <c r="H3" s="25"/>
      <c r="I3" s="25"/>
    </row>
    <row r="4" ht="34.5" customHeight="1">
      <c r="A4" s="81" t="s">
        <v>64</v>
      </c>
      <c r="B4" s="82" t="s">
        <v>639</v>
      </c>
      <c r="C4" s="82" t="s">
        <v>640</v>
      </c>
      <c r="D4" s="82" t="s">
        <v>641</v>
      </c>
      <c r="E4" s="83" t="s">
        <v>642</v>
      </c>
      <c r="F4" s="82" t="s">
        <v>643</v>
      </c>
      <c r="G4" s="83" t="s">
        <v>644</v>
      </c>
      <c r="H4" s="83" t="s">
        <v>645</v>
      </c>
      <c r="I4" s="82" t="s">
        <v>646</v>
      </c>
    </row>
    <row r="5" s="7" customFormat="1" ht="34.5" customHeight="1">
      <c r="A5" s="84" t="s">
        <v>647</v>
      </c>
      <c r="B5" s="85" t="s">
        <v>648</v>
      </c>
      <c r="C5" s="86" t="s">
        <v>649</v>
      </c>
      <c r="D5" s="86" t="s">
        <v>650</v>
      </c>
      <c r="E5" s="87" t="s">
        <v>651</v>
      </c>
      <c r="F5" s="88" t="s">
        <v>652</v>
      </c>
      <c r="G5" s="85" t="s">
        <v>653</v>
      </c>
      <c r="H5" s="85" t="s">
        <v>654</v>
      </c>
      <c r="I5" s="86" t="s">
        <v>655</v>
      </c>
    </row>
    <row r="6" s="9" customFormat="1" ht="34.5" customHeight="1">
      <c r="A6" s="89" t="n">
        <v>1</v>
      </c>
      <c r="B6" s="31" t="s">
        <v>656</v>
      </c>
      <c r="C6" s="90" t="n">
        <v>347000</v>
      </c>
      <c r="D6" s="90" t="n">
        <v>229150</v>
      </c>
      <c r="E6" s="91" t="n">
        <f>D6/C6</f>
        <v>0.660374639769452</v>
      </c>
      <c r="F6" s="90" t="n">
        <v>86240</v>
      </c>
      <c r="G6" s="90" t="n">
        <f>SUMIFS('附3-交付成本评估'!P:P,'附3-交付成本评估'!C:C,B6)+SUMIFS('附3-交付成本评估'!Q:Q,'附3-交付成本评估'!C:C,B6)+SUMIFS('附3-交付成本评估'!R:R,'附3-交付成本评估'!C:C,B6)</f>
        <v>0</v>
      </c>
      <c r="H6" s="91" t="n">
        <f>1-F6/(D6/1.06)</f>
        <v>0.601071787039058</v>
      </c>
      <c r="I6" s="89"/>
    </row>
    <row r="7" s="9" customFormat="1" ht="34.5" customHeight="1">
      <c r="A7" s="89" t="n">
        <v>2</v>
      </c>
      <c r="B7" s="31" t="s">
        <v>657</v>
      </c>
      <c r="C7" s="92"/>
      <c r="D7" s="92"/>
      <c r="E7" s="91" t="e">
        <f>D7/C7</f>
        <v>#DIV/0!</v>
      </c>
      <c r="F7" s="92"/>
      <c r="G7" s="90" t="n">
        <f>SUMIFS('附3-交付成本评估'!P:P,'附3-交付成本评估'!C:C,B7)+SUMIFS('附3-交付成本评估'!Q:Q,'附3-交付成本评估'!C:C,B7)+SUMIFS('附3-交付成本评估'!R:R,'附3-交付成本评估'!C:C,B7)</f>
        <v>0</v>
      </c>
      <c r="H7" s="91" t="e">
        <f>1-F7/(D7/1.06)</f>
        <v>#DIV/0!</v>
      </c>
      <c r="I7" s="31"/>
    </row>
    <row r="8" s="9" customFormat="1" ht="34.5" customHeight="1">
      <c r="A8" s="89" t="n">
        <v>3</v>
      </c>
      <c r="B8" s="31" t="s">
        <v>658</v>
      </c>
      <c r="C8" s="93"/>
      <c r="D8" s="93"/>
      <c r="E8" s="91" t="e">
        <f>D8/C8</f>
        <v>#DIV/0!</v>
      </c>
      <c r="F8" s="93"/>
      <c r="G8" s="90" t="n">
        <f>SUMIFS('附3-交付成本评估'!P:P,'附3-交付成本评估'!C:C,B8)+SUMIFS('附3-交付成本评估'!Q:Q,'附3-交付成本评估'!C:C,B8)+SUMIFS('附3-交付成本评估'!R:R,'附3-交付成本评估'!C:C,B8)</f>
        <v>0</v>
      </c>
      <c r="H8" s="91" t="e">
        <f>1-F8/(D8/1.06)</f>
        <v>#DIV/0!</v>
      </c>
      <c r="I8" s="31"/>
    </row>
    <row r="9" s="9" customFormat="1" ht="48" customHeight="1">
      <c r="A9" s="94" t="s">
        <v>659</v>
      </c>
      <c r="B9" s="94" t="s">
        <v>660</v>
      </c>
      <c r="C9" s="94" t="s">
        <v>313</v>
      </c>
      <c r="D9" s="94" t="s">
        <v>661</v>
      </c>
      <c r="E9" s="94" t="s">
        <v>313</v>
      </c>
      <c r="F9" s="94" t="s">
        <v>662</v>
      </c>
      <c r="G9" s="94" t="s">
        <v>663</v>
      </c>
      <c r="H9" s="500" t="s">
        <v>664</v>
      </c>
      <c r="I9" s="95" t="s">
        <v>665</v>
      </c>
    </row>
    <row r="10" s="9" customFormat="1" ht="34.5" customHeight="1">
      <c r="A10" s="96" t="s">
        <v>392</v>
      </c>
      <c r="B10" s="97" t="s">
        <v>313</v>
      </c>
      <c r="C10" s="98" t="s">
        <v>313</v>
      </c>
      <c r="D10" s="98" t="n">
        <f>SUM(D6:D8)</f>
        <v>229150</v>
      </c>
      <c r="E10" s="97" t="s">
        <v>313</v>
      </c>
      <c r="F10" s="99"/>
      <c r="G10" s="99"/>
      <c r="H10" s="100" t="n">
        <f>1-F10/(D10/1.06)</f>
        <v>1</v>
      </c>
      <c r="I10" s="97" t="s">
        <v>313</v>
      </c>
    </row>
    <row r="11" ht="34.5" customHeight="1"/>
    <row r="12" ht="34.5" customHeight="1">
      <c r="A12" s="101" t="s">
        <v>666</v>
      </c>
    </row>
    <row r="13" ht="34.5" customHeight="1">
      <c r="A13" s="9" t="s">
        <v>667</v>
      </c>
    </row>
    <row r="14" ht="34.5" customHeight="1">
      <c r="A14" s="81" t="s">
        <v>668</v>
      </c>
      <c r="B14" s="25"/>
      <c r="C14" s="25"/>
      <c r="D14" s="25"/>
      <c r="E14" s="25"/>
      <c r="F14" s="25"/>
      <c r="G14" s="25"/>
      <c r="H14" s="25"/>
      <c r="I14" s="104"/>
      <c r="J14" s="104"/>
      <c r="K14" s="25"/>
      <c r="L14" s="25"/>
    </row>
    <row r="15" ht="40.5" customHeight="1">
      <c r="A15" s="82" t="s">
        <v>64</v>
      </c>
      <c r="B15" s="82" t="s">
        <v>639</v>
      </c>
      <c r="C15" s="82" t="s">
        <v>669</v>
      </c>
      <c r="D15" s="82" t="s">
        <v>670</v>
      </c>
      <c r="E15" s="82" t="s">
        <v>671</v>
      </c>
      <c r="F15" s="83" t="s">
        <v>672</v>
      </c>
      <c r="G15" s="82" t="s">
        <v>673</v>
      </c>
      <c r="H15" s="83" t="s">
        <v>644</v>
      </c>
      <c r="I15" s="83" t="s">
        <v>674</v>
      </c>
      <c r="J15" s="83" t="s">
        <v>675</v>
      </c>
      <c r="K15" s="83" t="s">
        <v>645</v>
      </c>
      <c r="L15" s="82" t="s">
        <v>646</v>
      </c>
    </row>
    <row r="16" s="75" customFormat="1" ht="34.5" customHeight="1">
      <c r="A16" s="86" t="s">
        <v>647</v>
      </c>
      <c r="B16" s="85" t="s">
        <v>648</v>
      </c>
      <c r="C16" s="86" t="s">
        <v>676</v>
      </c>
      <c r="D16" s="86" t="s">
        <v>649</v>
      </c>
      <c r="E16" s="86" t="s">
        <v>650</v>
      </c>
      <c r="F16" s="87" t="s">
        <v>677</v>
      </c>
      <c r="G16" s="88" t="s">
        <v>652</v>
      </c>
      <c r="H16" s="85" t="s">
        <v>653</v>
      </c>
      <c r="I16" s="85"/>
      <c r="J16" s="85"/>
      <c r="K16" s="85" t="s">
        <v>654</v>
      </c>
      <c r="L16" s="86"/>
      <c r="M16" s="7"/>
      <c r="N16" s="7"/>
      <c r="O16" s="7"/>
      <c r="P16" s="7"/>
    </row>
    <row r="17" s="75" customFormat="1" ht="34.5" customHeight="1">
      <c r="A17" s="102" t="s">
        <v>678</v>
      </c>
      <c r="B17" s="96" t="s">
        <v>656</v>
      </c>
      <c r="C17" s="97" t="s">
        <v>679</v>
      </c>
      <c r="D17" s="98" t="n">
        <v>347000</v>
      </c>
      <c r="E17" s="98" t="n">
        <v>229150</v>
      </c>
      <c r="F17" s="100" t="n">
        <f>E17/D17</f>
        <v>0.660374639769452</v>
      </c>
      <c r="G17" s="98" t="n">
        <v>86240</v>
      </c>
      <c r="H17" s="98" t="n">
        <f>I17+J17</f>
        <v>0</v>
      </c>
      <c r="I17" s="98" t="n">
        <f>SUMIFS('附3-交付成本评估'!T:T,'附3-交付成本评估'!C:C,B17,'附3-交付成本评估'!D:D,C17)+SUMIFS('附3-交付成本评估'!U:U,'附3-交付成本评估'!C:C,B17,'附3-交付成本评估'!D:D,C17)</f>
        <v>0</v>
      </c>
      <c r="J17" s="98" t="n">
        <f>SUMIFS('附3-交付成本评估'!V:V,'附3-交付成本评估'!C:C,B17,'附3-交付成本评估'!D:D,C17)</f>
        <v>0</v>
      </c>
      <c r="K17" s="100" t="n">
        <f>1-G17/(E17/1.06)</f>
        <v>0.601071787039058</v>
      </c>
      <c r="L17" s="97"/>
      <c r="M17" s="7"/>
      <c r="N17" s="7"/>
      <c r="O17" s="7"/>
      <c r="P17" s="7"/>
    </row>
    <row r="18" s="75" customFormat="1" ht="34.5" customHeight="1">
      <c r="A18" s="102" t="s">
        <v>680</v>
      </c>
      <c r="B18" s="96" t="s">
        <v>681</v>
      </c>
      <c r="C18" s="97" t="s">
        <v>682</v>
      </c>
      <c r="D18" s="103"/>
      <c r="E18" s="103"/>
      <c r="F18" s="35"/>
      <c r="G18" s="103"/>
      <c r="H18" s="98" t="n">
        <f>I18+J18</f>
        <v>0</v>
      </c>
      <c r="I18" s="98" t="n">
        <f>SUMIFS('附3-交付成本评估'!T:T,'附3-交付成本评估'!C:C,B18,'附3-交付成本评估'!D:D,C18)+SUMIFS('附3-交付成本评估'!U:U,'附3-交付成本评估'!C:C,B18,'附3-交付成本评估'!D:D,C18)</f>
        <v>0</v>
      </c>
      <c r="J18" s="98" t="n">
        <f>SUMIFS('附3-交付成本评估'!V:V,'附3-交付成本评估'!C:C,B18,'附3-交付成本评估'!D:D,C18)</f>
        <v>0</v>
      </c>
      <c r="K18" s="100" t="e">
        <f>1-G18/(E18/1.06)</f>
        <v>#DIV/0!</v>
      </c>
      <c r="L18" s="96"/>
      <c r="M18" s="7"/>
      <c r="N18" s="7"/>
      <c r="O18" s="7"/>
      <c r="P18" s="7"/>
    </row>
    <row r="19" s="75" customFormat="1" ht="34.5" customHeight="1">
      <c r="A19" s="102" t="s">
        <v>683</v>
      </c>
      <c r="B19" s="96" t="s">
        <v>681</v>
      </c>
      <c r="C19" s="97" t="s">
        <v>684</v>
      </c>
      <c r="D19" s="99"/>
      <c r="E19" s="99"/>
      <c r="F19" s="96"/>
      <c r="G19" s="99"/>
      <c r="H19" s="98" t="n">
        <f>I19+J19</f>
        <v>0</v>
      </c>
      <c r="I19" s="98" t="n">
        <f>SUMIFS('附3-交付成本评估'!T:T,'附3-交付成本评估'!C:C,B19,'附3-交付成本评估'!D:D,C19)+SUMIFS('附3-交付成本评估'!U:U,'附3-交付成本评估'!C:C,B19,'附3-交付成本评估'!D:D,C19)</f>
        <v>0</v>
      </c>
      <c r="J19" s="98" t="n">
        <f>SUMIFS('附3-交付成本评估'!V:V,'附3-交付成本评估'!C:C,B19,'附3-交付成本评估'!D:D,C19)</f>
        <v>0</v>
      </c>
      <c r="K19" s="100" t="e">
        <f>1-G19/(E19/1.06)</f>
        <v>#DIV/0!</v>
      </c>
      <c r="L19" s="96"/>
      <c r="M19" s="7"/>
      <c r="N19" s="7"/>
      <c r="O19" s="7"/>
      <c r="P19" s="7"/>
    </row>
    <row r="20" s="75" customFormat="1" ht="34.5" customHeight="1">
      <c r="A20" s="102" t="s">
        <v>685</v>
      </c>
      <c r="B20" s="96"/>
      <c r="C20" s="96"/>
      <c r="D20" s="99"/>
      <c r="E20" s="99"/>
      <c r="F20" s="96"/>
      <c r="G20" s="99"/>
      <c r="H20" s="98" t="n">
        <f>I20+J20</f>
        <v>0</v>
      </c>
      <c r="I20" s="98" t="n">
        <f>SUMIFS('附3-交付成本评估'!T:T,'附3-交付成本评估'!C:C,B20,'附3-交付成本评估'!D:D,C20)+SUMIFS('附3-交付成本评估'!U:U,'附3-交付成本评估'!C:C,B20,'附3-交付成本评估'!D:D,C20)</f>
        <v>0</v>
      </c>
      <c r="J20" s="98" t="n">
        <f>SUMIFS('附3-交付成本评估'!V:V,'附3-交付成本评估'!C:C,B20,'附3-交付成本评估'!D:D,C20)</f>
        <v>0</v>
      </c>
      <c r="K20" s="100" t="e">
        <f>1-G20/(E20/1.06)</f>
        <v>#DIV/0!</v>
      </c>
      <c r="L20" s="96"/>
      <c r="M20" s="7"/>
      <c r="N20" s="7"/>
      <c r="O20" s="7"/>
      <c r="P20" s="7"/>
    </row>
    <row r="21" s="75" customFormat="1" ht="34.5" customHeight="1">
      <c r="A21" s="102" t="s">
        <v>686</v>
      </c>
      <c r="B21" s="96"/>
      <c r="C21" s="96"/>
      <c r="D21" s="99"/>
      <c r="E21" s="99"/>
      <c r="F21" s="96"/>
      <c r="G21" s="99"/>
      <c r="H21" s="98" t="n">
        <f>I21+J21</f>
        <v>0</v>
      </c>
      <c r="I21" s="98" t="n">
        <f>SUMIFS('附3-交付成本评估'!T:T,'附3-交付成本评估'!C:C,B21,'附3-交付成本评估'!D:D,C21)+SUMIFS('附3-交付成本评估'!U:U,'附3-交付成本评估'!C:C,B21,'附3-交付成本评估'!D:D,C21)</f>
        <v>0</v>
      </c>
      <c r="J21" s="98" t="n">
        <f>SUMIFS('附3-交付成本评估'!V:V,'附3-交付成本评估'!C:C,B21,'附3-交付成本评估'!D:D,C21)</f>
        <v>0</v>
      </c>
      <c r="K21" s="100" t="e">
        <f>1-G21/(E21/1.06)</f>
        <v>#DIV/0!</v>
      </c>
      <c r="L21" s="96"/>
      <c r="M21" s="7"/>
      <c r="N21" s="7"/>
      <c r="O21" s="7"/>
      <c r="P21" s="7"/>
    </row>
    <row r="22" ht="34.5" customHeight="1"/>
    <row r="23" ht="34.5" customHeight="1"/>
    <row r="24" ht="34.5" customHeight="1"/>
    <row r="25" ht="34.5" customHeight="1"/>
    <row r="26" ht="34.5" customHeight="1"/>
    <row r="27" ht="34.5" customHeight="1"/>
    <row r="28" ht="34.5" customHeight="1"/>
    <row r="29" ht="34.5" customHeight="1"/>
    <row r="30" ht="34.5" customHeight="1"/>
    <row r="31" ht="34.5" customHeight="1"/>
    <row r="32" ht="34.5" customHeight="1"/>
    <row r="33" ht="34.5" customHeight="1"/>
    <row r="34" ht="34.5" customHeight="1"/>
    <row r="35" ht="34.5" customHeight="1"/>
  </sheetData>
  <mergeCells count="3">
    <mergeCell ref="A1:F1"/>
    <mergeCell ref="A14:L14"/>
    <mergeCell ref="A3:I3"/>
  </mergeCells>
  <phoneticPr fontId="1" type="noConversion"/>
  <dataValidations count="1">
    <dataValidation type="list" allowBlank="1" showInputMessage="1" showErrorMessage="1" prompt="㧐禵_x0002_" sqref="B6:B8 B17:B21">
      <formula1>"统一地址运营,数字孪生基座,数智网格化系统,地址资源运营平台,智域地图平台,空间聚合服务,警情时空分析,110实时警情定位服务,警务社区可视化平台,数据工程,数据资产,数据服务,数据运营,项目定制,项目分包,项目合计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="70" zoomScaleNormal="70">
      <pane topLeftCell="A6" activePane="bottomRight" state="frozen" ySplit="5"/>
    </sheetView>
  </sheetViews>
  <sheetFormatPr baseColWidth="10" defaultColWidth="8.8330078125" defaultRowHeight="15" customHeight="1"/>
  <cols>
    <col min="1" max="1" width="4.6640625" customWidth="1" style="7"/>
    <col min="2" max="2" width="6.9990234375" customWidth="1" style="7"/>
    <col min="3" max="3" width="12.83203125" customWidth="1" style="7"/>
    <col min="4" max="4" width="13.5" customWidth="1" style="7"/>
    <col min="5" max="5" width="8.4990234375" customWidth="1" style="7"/>
    <col min="6" max="6" width="6.9990234375" customWidth="1" style="7"/>
    <col min="7" max="7" width="8.4990234375" customWidth="1" style="7"/>
    <col min="8" max="8" width="6.9990234375" customWidth="1" style="7"/>
    <col min="9" max="9" width="13.998046875" customWidth="1" style="8"/>
    <col min="10" max="10" width="8.666015625" customWidth="1" style="8"/>
    <col min="11" max="11" width="9.9990234375" customWidth="1" style="8"/>
    <col min="12" max="12" width="11.4990234375" customWidth="1" style="8"/>
    <col min="13" max="13" width="18.6650390625" customWidth="1" style="9"/>
    <col min="14" max="19" width="8.1650390625" customWidth="1" style="9"/>
    <col min="20" max="23" width="8.4990234375" customWidth="1" style="9"/>
    <col min="24" max="24" width="13.6640625" customWidth="1" style="9"/>
    <col min="25" max="25" width="17.8330078125" customWidth="1" style="9"/>
    <col min="26" max="26" width="15" customWidth="1" style="9"/>
    <col min="27" max="27" width="15.6650390625" customWidth="1" style="9"/>
    <col min="28" max="29" width="15" customWidth="1" style="9"/>
    <col min="30" max="30" width="31.998046875" customWidth="1" style="9"/>
    <col min="31" max="40" width="8.8330078125" style="6"/>
  </cols>
  <sheetData>
    <row r="1" ht="38.25" customHeight="1">
      <c r="A1" s="10" t="s">
        <v>638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="340" customFormat="1" ht="38.25" customHeight="1">
      <c r="A2" s="11" t="s">
        <v>687</v>
      </c>
      <c r="B2" s="12"/>
      <c r="C2" s="13"/>
      <c r="D2" s="14"/>
      <c r="E2" s="15"/>
      <c r="F2" s="11" t="s">
        <v>688</v>
      </c>
      <c r="G2" s="16"/>
      <c r="H2" s="17"/>
      <c r="I2" s="41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ht="29.25" customHeight="1">
      <c r="A3" s="18" t="s">
        <v>392</v>
      </c>
      <c r="B3" s="19"/>
      <c r="C3" s="19"/>
      <c r="D3" s="19"/>
      <c r="E3" s="20"/>
      <c r="F3" s="21"/>
      <c r="G3" s="19"/>
      <c r="H3" s="19"/>
      <c r="I3" s="42" t="n">
        <f>SUM(I6:I15)</f>
        <v>0</v>
      </c>
      <c r="J3" s="43" t="n">
        <f>SUM(J6:J15)</f>
        <v>0</v>
      </c>
      <c r="K3" s="43" t="n">
        <f>SUM(K6:K15)</f>
        <v>0</v>
      </c>
      <c r="L3" s="43" t="n">
        <f>SUM(L6:L15)</f>
        <v>0</v>
      </c>
      <c r="M3" s="44" t="n">
        <f>SUM(M6:M15)</f>
        <v>0</v>
      </c>
      <c r="N3" s="45" t="n">
        <f>SUM(N6:N15)</f>
        <v>0</v>
      </c>
      <c r="O3" s="45" t="n">
        <f>SUM(O6:O15)</f>
        <v>0</v>
      </c>
      <c r="P3" s="45" t="n">
        <f>SUM(P6:P15)</f>
        <v>0</v>
      </c>
      <c r="Q3" s="45" t="n">
        <f>SUM(Q6:Q15)</f>
        <v>0</v>
      </c>
      <c r="R3" s="45" t="n">
        <f>SUM(R6:R15)</f>
        <v>0</v>
      </c>
      <c r="S3" s="45" t="n">
        <f>SUM(S6:S15)</f>
        <v>0</v>
      </c>
      <c r="T3" s="45" t="n">
        <f>SUM(T6:T15)</f>
        <v>0</v>
      </c>
      <c r="U3" s="45" t="n">
        <f>SUM(U6:U15)</f>
        <v>0</v>
      </c>
      <c r="V3" s="45"/>
      <c r="W3" s="45"/>
      <c r="X3" s="60" t="n">
        <f>SUM(X6:X15)</f>
        <v>0</v>
      </c>
      <c r="Y3" s="45" t="n">
        <f>SUM(Y6:Y15)</f>
        <v>0</v>
      </c>
      <c r="Z3" s="45" t="n">
        <f>SUM(Z6:Z15)</f>
        <v>0</v>
      </c>
      <c r="AA3" s="45" t="n">
        <f>SUM(AA6:AA15)</f>
        <v>0</v>
      </c>
      <c r="AB3" s="45" t="n">
        <f>SUM(AB6:AB15)</f>
        <v>0</v>
      </c>
      <c r="AC3" s="45" t="n">
        <f>SUM(AC6:AC15)</f>
        <v>0</v>
      </c>
      <c r="AD3" s="68" t="s">
        <v>313</v>
      </c>
    </row>
    <row r="4" ht="30" customHeight="1">
      <c r="A4" s="22" t="s">
        <v>64</v>
      </c>
      <c r="B4" s="23" t="s">
        <v>393</v>
      </c>
      <c r="C4" s="24"/>
      <c r="D4" s="24"/>
      <c r="E4" s="24"/>
      <c r="F4" s="24"/>
      <c r="G4" s="24"/>
      <c r="H4" s="24"/>
      <c r="I4" s="46" t="s">
        <v>410</v>
      </c>
      <c r="J4" s="47"/>
      <c r="K4" s="47"/>
      <c r="L4" s="48"/>
      <c r="M4" s="49" t="s">
        <v>411</v>
      </c>
      <c r="N4" s="50" t="s">
        <v>412</v>
      </c>
      <c r="O4" s="25"/>
      <c r="P4" s="50" t="s">
        <v>413</v>
      </c>
      <c r="Q4" s="25"/>
      <c r="R4" s="25"/>
      <c r="S4" s="25"/>
      <c r="T4" s="50" t="s">
        <v>414</v>
      </c>
      <c r="U4" s="25"/>
      <c r="V4" s="50" t="s">
        <v>415</v>
      </c>
      <c r="W4" s="25"/>
      <c r="X4" s="61" t="s">
        <v>416</v>
      </c>
      <c r="Y4" s="25"/>
      <c r="Z4" s="25"/>
      <c r="AA4" s="25"/>
      <c r="AB4" s="25"/>
      <c r="AC4" s="25"/>
      <c r="AD4" s="69" t="s">
        <v>417</v>
      </c>
    </row>
    <row r="5" s="5" customFormat="1" ht="37.5" customHeight="1">
      <c r="A5" s="25"/>
      <c r="B5" s="26" t="s">
        <v>419</v>
      </c>
      <c r="C5" s="501" t="s">
        <v>689</v>
      </c>
      <c r="D5" s="28" t="s">
        <v>421</v>
      </c>
      <c r="E5" s="28" t="s">
        <v>422</v>
      </c>
      <c r="F5" s="27" t="s">
        <v>423</v>
      </c>
      <c r="G5" s="27" t="s">
        <v>424</v>
      </c>
      <c r="H5" s="28" t="s">
        <v>425</v>
      </c>
      <c r="I5" s="51" t="s">
        <v>427</v>
      </c>
      <c r="J5" s="51" t="s">
        <v>428</v>
      </c>
      <c r="K5" s="51" t="s">
        <v>429</v>
      </c>
      <c r="L5" s="51" t="s">
        <v>430</v>
      </c>
      <c r="M5" s="51" t="s">
        <v>480</v>
      </c>
      <c r="N5" s="52" t="s">
        <v>440</v>
      </c>
      <c r="O5" s="52" t="s">
        <v>441</v>
      </c>
      <c r="P5" s="52" t="s">
        <v>481</v>
      </c>
      <c r="Q5" s="52" t="s">
        <v>482</v>
      </c>
      <c r="R5" s="52" t="s">
        <v>483</v>
      </c>
      <c r="S5" s="52" t="s">
        <v>484</v>
      </c>
      <c r="T5" s="52" t="s">
        <v>472</v>
      </c>
      <c r="U5" s="52" t="s">
        <v>473</v>
      </c>
      <c r="V5" s="52" t="s">
        <v>472</v>
      </c>
      <c r="W5" s="52" t="s">
        <v>473</v>
      </c>
      <c r="X5" s="62" t="s">
        <v>485</v>
      </c>
      <c r="Y5" s="70" t="s">
        <v>486</v>
      </c>
      <c r="Z5" s="70" t="s">
        <v>487</v>
      </c>
      <c r="AA5" s="70" t="s">
        <v>488</v>
      </c>
      <c r="AB5" s="70" t="s">
        <v>489</v>
      </c>
      <c r="AC5" s="70" t="s">
        <v>490</v>
      </c>
      <c r="AD5" s="71"/>
    </row>
    <row r="6" ht="24.75" customHeight="1">
      <c r="A6" s="29" t="n">
        <v>1</v>
      </c>
      <c r="B6" s="30"/>
      <c r="C6" s="31" t="s">
        <v>656</v>
      </c>
      <c r="D6" s="32"/>
      <c r="E6" s="32"/>
      <c r="F6" s="33"/>
      <c r="G6" s="32"/>
      <c r="H6" s="32"/>
      <c r="I6" s="53"/>
      <c r="J6" s="53"/>
      <c r="K6" s="53"/>
      <c r="L6" s="53"/>
      <c r="M6" s="54" t="n">
        <f>SUM(O6,R6,S6,U6)</f>
        <v>0</v>
      </c>
      <c r="N6" s="55"/>
      <c r="O6" s="55" t="n">
        <f>N6*1750</f>
        <v>0</v>
      </c>
      <c r="P6" s="56"/>
      <c r="Q6" s="56"/>
      <c r="R6" s="56" t="n">
        <f>P6*1750</f>
        <v>0</v>
      </c>
      <c r="S6" s="56" t="n">
        <f>Q6*890</f>
        <v>0</v>
      </c>
      <c r="T6" s="63"/>
      <c r="U6" s="64" t="n">
        <f>T6*320</f>
        <v>0</v>
      </c>
      <c r="V6" s="65"/>
      <c r="W6" s="65" t="n">
        <f>V6*320</f>
        <v>0</v>
      </c>
      <c r="X6" s="57" t="n">
        <f>SUM(Y6:AC6)</f>
        <v>0</v>
      </c>
      <c r="Y6" s="72"/>
      <c r="Z6" s="72"/>
      <c r="AA6" s="72"/>
      <c r="AB6" s="72"/>
      <c r="AC6" s="73"/>
      <c r="AD6" s="74" t="s">
        <v>499</v>
      </c>
    </row>
    <row r="7" ht="24.75" customHeight="1">
      <c r="A7" s="29" t="n">
        <v>2</v>
      </c>
      <c r="B7" s="34"/>
      <c r="C7" s="31" t="s">
        <v>656</v>
      </c>
      <c r="D7" s="35"/>
      <c r="E7" s="32"/>
      <c r="F7" s="33"/>
      <c r="G7" s="32"/>
      <c r="H7" s="32"/>
      <c r="I7" s="53"/>
      <c r="J7" s="53"/>
      <c r="K7" s="53"/>
      <c r="L7" s="53"/>
      <c r="M7" s="53" t="n">
        <f>SUM(O7,R7,S7,U7)</f>
        <v>0</v>
      </c>
      <c r="N7" s="57"/>
      <c r="O7" s="55" t="n">
        <f>N7*1750</f>
        <v>0</v>
      </c>
      <c r="P7" s="58"/>
      <c r="Q7" s="58"/>
      <c r="R7" s="56" t="n">
        <f>P7*1750</f>
        <v>0</v>
      </c>
      <c r="S7" s="56" t="n">
        <f>Q7*890</f>
        <v>0</v>
      </c>
      <c r="T7" s="66"/>
      <c r="U7" s="64" t="n">
        <f>T7*320</f>
        <v>0</v>
      </c>
      <c r="V7" s="67"/>
      <c r="W7" s="65" t="n">
        <f>V7*320</f>
        <v>0</v>
      </c>
      <c r="X7" s="57" t="n">
        <f>SUM(Y7:AC7)</f>
        <v>0</v>
      </c>
      <c r="Y7" s="72"/>
      <c r="Z7" s="72"/>
      <c r="AA7" s="72"/>
      <c r="AB7" s="72"/>
      <c r="AC7" s="73"/>
      <c r="AD7" s="71"/>
    </row>
    <row r="8" ht="24.75" customHeight="1">
      <c r="A8" s="29" t="n">
        <v>3</v>
      </c>
      <c r="B8" s="34"/>
      <c r="C8" s="31" t="s">
        <v>656</v>
      </c>
      <c r="D8" s="35"/>
      <c r="E8" s="32"/>
      <c r="F8" s="33"/>
      <c r="G8" s="32"/>
      <c r="H8" s="32"/>
      <c r="I8" s="53"/>
      <c r="J8" s="53"/>
      <c r="K8" s="53"/>
      <c r="L8" s="53"/>
      <c r="M8" s="53" t="n">
        <f>SUM(O8,R8,S8,U8)</f>
        <v>0</v>
      </c>
      <c r="N8" s="57"/>
      <c r="O8" s="55" t="n">
        <f>N8*1750</f>
        <v>0</v>
      </c>
      <c r="P8" s="58"/>
      <c r="Q8" s="58"/>
      <c r="R8" s="56" t="n">
        <f>P8*1750</f>
        <v>0</v>
      </c>
      <c r="S8" s="56" t="n">
        <f>Q8*890</f>
        <v>0</v>
      </c>
      <c r="T8" s="66"/>
      <c r="U8" s="64" t="n">
        <f>T8*320</f>
        <v>0</v>
      </c>
      <c r="V8" s="67"/>
      <c r="W8" s="65" t="n">
        <f>V8*320</f>
        <v>0</v>
      </c>
      <c r="X8" s="57" t="n">
        <f>SUM(Y8:AC8)</f>
        <v>0</v>
      </c>
      <c r="Y8" s="72"/>
      <c r="Z8" s="72"/>
      <c r="AA8" s="72"/>
      <c r="AB8" s="72"/>
      <c r="AC8" s="73"/>
      <c r="AD8" s="71"/>
    </row>
    <row r="9" ht="24.75" customHeight="1">
      <c r="A9" s="29" t="n">
        <v>4</v>
      </c>
      <c r="B9" s="36"/>
      <c r="C9" s="31" t="s">
        <v>656</v>
      </c>
      <c r="D9" s="36"/>
      <c r="E9" s="36"/>
      <c r="F9" s="36"/>
      <c r="G9" s="36"/>
      <c r="H9" s="36"/>
      <c r="I9" s="53"/>
      <c r="J9" s="53"/>
      <c r="K9" s="53"/>
      <c r="L9" s="53"/>
      <c r="M9" s="53" t="n">
        <f>SUM(O9,R9,S9,U9)</f>
        <v>0</v>
      </c>
      <c r="N9" s="57"/>
      <c r="O9" s="55" t="n">
        <f>N9*1750</f>
        <v>0</v>
      </c>
      <c r="P9" s="58"/>
      <c r="Q9" s="58"/>
      <c r="R9" s="56" t="n">
        <f>P9*1750</f>
        <v>0</v>
      </c>
      <c r="S9" s="56" t="n">
        <f>Q9*890</f>
        <v>0</v>
      </c>
      <c r="T9" s="66"/>
      <c r="U9" s="64" t="n">
        <f>T9*320</f>
        <v>0</v>
      </c>
      <c r="V9" s="67"/>
      <c r="W9" s="65" t="n">
        <f>V9*320</f>
        <v>0</v>
      </c>
      <c r="X9" s="57" t="n">
        <f>SUM(Y9:AC9)</f>
        <v>0</v>
      </c>
      <c r="Y9" s="72"/>
      <c r="Z9" s="72"/>
      <c r="AA9" s="72"/>
      <c r="AB9" s="72"/>
      <c r="AC9" s="73"/>
      <c r="AD9" s="71"/>
    </row>
    <row r="10" ht="24.75" customHeight="1">
      <c r="A10" s="29" t="n">
        <v>5</v>
      </c>
      <c r="B10" s="36"/>
      <c r="C10" s="31" t="s">
        <v>656</v>
      </c>
      <c r="D10" s="36"/>
      <c r="E10" s="36"/>
      <c r="F10" s="36"/>
      <c r="G10" s="36"/>
      <c r="H10" s="36"/>
      <c r="I10" s="53"/>
      <c r="J10" s="53"/>
      <c r="K10" s="53"/>
      <c r="L10" s="53"/>
      <c r="M10" s="53" t="n">
        <f>SUM(O10,R10,S10,U10)</f>
        <v>0</v>
      </c>
      <c r="N10" s="57"/>
      <c r="O10" s="55" t="n">
        <f>N10*1750</f>
        <v>0</v>
      </c>
      <c r="P10" s="58"/>
      <c r="Q10" s="58"/>
      <c r="R10" s="56" t="n">
        <f>P10*1750</f>
        <v>0</v>
      </c>
      <c r="S10" s="56" t="n">
        <f>Q10*890</f>
        <v>0</v>
      </c>
      <c r="T10" s="66"/>
      <c r="U10" s="64" t="n">
        <f>T10*320</f>
        <v>0</v>
      </c>
      <c r="V10" s="67"/>
      <c r="W10" s="65" t="n">
        <f>V10*320</f>
        <v>0</v>
      </c>
      <c r="X10" s="57" t="n">
        <f>SUM(Y10:AC10)</f>
        <v>0</v>
      </c>
      <c r="Y10" s="72"/>
      <c r="Z10" s="72"/>
      <c r="AA10" s="72"/>
      <c r="AB10" s="72"/>
      <c r="AC10" s="73"/>
      <c r="AD10" s="74"/>
    </row>
    <row r="11" ht="24.75" customHeight="1">
      <c r="A11" s="29" t="n">
        <v>6</v>
      </c>
      <c r="B11" s="36"/>
      <c r="C11" s="31" t="s">
        <v>656</v>
      </c>
      <c r="D11" s="36"/>
      <c r="E11" s="36"/>
      <c r="F11" s="36"/>
      <c r="G11" s="36"/>
      <c r="H11" s="36"/>
      <c r="I11" s="53"/>
      <c r="J11" s="53"/>
      <c r="K11" s="53"/>
      <c r="L11" s="53"/>
      <c r="M11" s="53" t="n">
        <f>SUM(O11,R11,S11,U11)</f>
        <v>0</v>
      </c>
      <c r="N11" s="57"/>
      <c r="O11" s="55" t="n">
        <f>N11*1750</f>
        <v>0</v>
      </c>
      <c r="P11" s="58"/>
      <c r="Q11" s="58"/>
      <c r="R11" s="56" t="n">
        <f>P11*1750</f>
        <v>0</v>
      </c>
      <c r="S11" s="56" t="n">
        <f>Q11*890</f>
        <v>0</v>
      </c>
      <c r="T11" s="66"/>
      <c r="U11" s="64" t="n">
        <f>T11*320</f>
        <v>0</v>
      </c>
      <c r="V11" s="67"/>
      <c r="W11" s="65" t="n">
        <f>V11*320</f>
        <v>0</v>
      </c>
      <c r="X11" s="57" t="n">
        <f>SUM(Y11:AC11)</f>
        <v>0</v>
      </c>
      <c r="Y11" s="72"/>
      <c r="Z11" s="72"/>
      <c r="AA11" s="72"/>
      <c r="AB11" s="72"/>
      <c r="AC11" s="73"/>
      <c r="AD11" s="74"/>
    </row>
    <row r="12" ht="24.75" customHeight="1">
      <c r="A12" s="29" t="n">
        <v>7</v>
      </c>
      <c r="B12" s="36"/>
      <c r="C12" s="31" t="s">
        <v>656</v>
      </c>
      <c r="D12" s="36"/>
      <c r="E12" s="36"/>
      <c r="F12" s="36"/>
      <c r="G12" s="36"/>
      <c r="H12" s="36"/>
      <c r="I12" s="53"/>
      <c r="J12" s="53"/>
      <c r="K12" s="53"/>
      <c r="L12" s="53"/>
      <c r="M12" s="53" t="n">
        <f>SUM(O12,R12,S12,U12)</f>
        <v>0</v>
      </c>
      <c r="N12" s="57"/>
      <c r="O12" s="55" t="n">
        <f>N12*1750</f>
        <v>0</v>
      </c>
      <c r="P12" s="58"/>
      <c r="Q12" s="58"/>
      <c r="R12" s="56" t="n">
        <f>P12*1750</f>
        <v>0</v>
      </c>
      <c r="S12" s="56" t="n">
        <f>Q12*890</f>
        <v>0</v>
      </c>
      <c r="T12" s="66"/>
      <c r="U12" s="64" t="n">
        <f>T12*320</f>
        <v>0</v>
      </c>
      <c r="V12" s="67"/>
      <c r="W12" s="65" t="n">
        <f>V12*320</f>
        <v>0</v>
      </c>
      <c r="X12" s="57" t="n">
        <f>SUM(Y12:AC12)</f>
        <v>0</v>
      </c>
      <c r="Y12" s="72"/>
      <c r="Z12" s="72"/>
      <c r="AA12" s="72"/>
      <c r="AB12" s="72"/>
      <c r="AC12" s="73"/>
      <c r="AD12" s="74"/>
    </row>
    <row r="13" ht="24.75" customHeight="1">
      <c r="A13" s="29" t="n">
        <v>8</v>
      </c>
      <c r="B13" s="36"/>
      <c r="C13" s="31" t="s">
        <v>656</v>
      </c>
      <c r="D13" s="36"/>
      <c r="E13" s="36"/>
      <c r="F13" s="36"/>
      <c r="G13" s="36"/>
      <c r="H13" s="36"/>
      <c r="I13" s="53"/>
      <c r="J13" s="53"/>
      <c r="K13" s="53"/>
      <c r="L13" s="53"/>
      <c r="M13" s="53" t="n">
        <f>SUM(O13,R13,S13,U13)</f>
        <v>0</v>
      </c>
      <c r="N13" s="57"/>
      <c r="O13" s="55" t="n">
        <f>N13*1750</f>
        <v>0</v>
      </c>
      <c r="P13" s="58"/>
      <c r="Q13" s="58"/>
      <c r="R13" s="56" t="n">
        <f>P13*1750</f>
        <v>0</v>
      </c>
      <c r="S13" s="56" t="n">
        <f>Q13*890</f>
        <v>0</v>
      </c>
      <c r="T13" s="66"/>
      <c r="U13" s="64" t="n">
        <f>T13*320</f>
        <v>0</v>
      </c>
      <c r="V13" s="67"/>
      <c r="W13" s="65" t="n">
        <f>V13*320</f>
        <v>0</v>
      </c>
      <c r="X13" s="57" t="n">
        <f>SUM(Y13:AC13)</f>
        <v>0</v>
      </c>
      <c r="Y13" s="72"/>
      <c r="Z13" s="72"/>
      <c r="AA13" s="72"/>
      <c r="AB13" s="72"/>
      <c r="AC13" s="73"/>
      <c r="AD13" s="74"/>
    </row>
    <row r="14" ht="24.75" customHeight="1">
      <c r="A14" s="29" t="n">
        <v>9</v>
      </c>
      <c r="B14" s="36"/>
      <c r="C14" s="31" t="s">
        <v>656</v>
      </c>
      <c r="D14" s="36"/>
      <c r="E14" s="36"/>
      <c r="F14" s="36"/>
      <c r="G14" s="36"/>
      <c r="H14" s="36"/>
      <c r="I14" s="53"/>
      <c r="J14" s="53"/>
      <c r="K14" s="53"/>
      <c r="L14" s="53"/>
      <c r="M14" s="53" t="n">
        <f>SUM(O14,R14,S14,U14)</f>
        <v>0</v>
      </c>
      <c r="N14" s="57"/>
      <c r="O14" s="55" t="n">
        <f>N14*1750</f>
        <v>0</v>
      </c>
      <c r="P14" s="58"/>
      <c r="Q14" s="58"/>
      <c r="R14" s="56" t="n">
        <f>P14*1750</f>
        <v>0</v>
      </c>
      <c r="S14" s="56" t="n">
        <f>Q14*890</f>
        <v>0</v>
      </c>
      <c r="T14" s="66"/>
      <c r="U14" s="64" t="n">
        <f>T14*320</f>
        <v>0</v>
      </c>
      <c r="V14" s="67"/>
      <c r="W14" s="65" t="n">
        <f>V14*320</f>
        <v>0</v>
      </c>
      <c r="X14" s="57" t="n">
        <f>SUM(Y14:AC14)</f>
        <v>0</v>
      </c>
      <c r="Y14" s="72"/>
      <c r="Z14" s="72"/>
      <c r="AA14" s="72"/>
      <c r="AB14" s="72"/>
      <c r="AC14" s="73"/>
      <c r="AD14" s="74"/>
    </row>
    <row r="15" ht="24.75" customHeight="1">
      <c r="A15" s="29" t="n">
        <v>10</v>
      </c>
      <c r="B15" s="36"/>
      <c r="C15" s="31" t="s">
        <v>656</v>
      </c>
      <c r="D15" s="36"/>
      <c r="E15" s="36"/>
      <c r="F15" s="36"/>
      <c r="G15" s="36"/>
      <c r="H15" s="36"/>
      <c r="I15" s="53"/>
      <c r="J15" s="53"/>
      <c r="K15" s="53"/>
      <c r="L15" s="53"/>
      <c r="M15" s="53" t="n">
        <f>SUM(O15,R15,S15,U15)</f>
        <v>0</v>
      </c>
      <c r="N15" s="57"/>
      <c r="O15" s="55" t="n">
        <f>N15*1750</f>
        <v>0</v>
      </c>
      <c r="P15" s="58"/>
      <c r="Q15" s="58"/>
      <c r="R15" s="56" t="n">
        <f>P15*1750</f>
        <v>0</v>
      </c>
      <c r="S15" s="56" t="n">
        <f>Q15*890</f>
        <v>0</v>
      </c>
      <c r="T15" s="66"/>
      <c r="U15" s="64" t="n">
        <f>T15*320</f>
        <v>0</v>
      </c>
      <c r="V15" s="67"/>
      <c r="W15" s="65" t="n">
        <f>V15*320</f>
        <v>0</v>
      </c>
      <c r="X15" s="57" t="n">
        <f>SUM(Y15:AC15)</f>
        <v>0</v>
      </c>
      <c r="Y15" s="72"/>
      <c r="Z15" s="72"/>
      <c r="AA15" s="72"/>
      <c r="AB15" s="72"/>
      <c r="AC15" s="73"/>
      <c r="AD15" s="71"/>
    </row>
    <row r="16" ht="15" customHeight="1">
      <c r="A16" s="37"/>
      <c r="B16" s="37"/>
      <c r="C16" s="38"/>
      <c r="D16" s="37"/>
      <c r="E16" s="37"/>
      <c r="F16" s="37"/>
      <c r="G16" s="37"/>
      <c r="H16" s="37"/>
      <c r="I16" s="59"/>
      <c r="J16" s="59"/>
      <c r="K16" s="59"/>
      <c r="L16" s="59"/>
    </row>
    <row r="17" s="6" customFormat="1" ht="130.5" customHeight="1">
      <c r="A17" s="39" t="s">
        <v>690</v>
      </c>
      <c r="B17" s="25"/>
      <c r="C17" s="25"/>
      <c r="D17" s="25"/>
      <c r="E17" s="25"/>
      <c r="F17" s="25"/>
      <c r="G17" s="25"/>
      <c r="H17" s="25"/>
      <c r="I17" s="8"/>
      <c r="J17" s="8"/>
      <c r="K17" s="8"/>
      <c r="L17" s="8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" customHeight="1">
      <c r="C18" s="9"/>
    </row>
    <row r="19" ht="15" customHeight="1">
      <c r="C19" s="9"/>
    </row>
    <row r="20" ht="15" customHeight="1">
      <c r="B20" s="40"/>
      <c r="C20" s="9"/>
    </row>
    <row r="21" ht="15" customHeight="1">
      <c r="B21" s="40"/>
      <c r="C21" s="9"/>
    </row>
    <row r="22" ht="15" customHeight="1">
      <c r="C22" s="9"/>
    </row>
    <row r="23" ht="15" customHeight="1">
      <c r="C23" s="9"/>
    </row>
    <row r="24" ht="15" customHeight="1">
      <c r="C24" s="9"/>
    </row>
    <row r="47" ht="15" customHeight="1">
      <c r="C47" s="9"/>
    </row>
    <row r="48" ht="15" customHeight="1">
      <c r="C48" s="9"/>
    </row>
    <row r="49" ht="15" customHeight="1">
      <c r="C49" s="9"/>
    </row>
    <row r="50" ht="15" customHeight="1">
      <c r="C50" s="9"/>
    </row>
    <row r="51" ht="15" customHeight="1">
      <c r="C51" s="9"/>
    </row>
    <row r="52" ht="15" customHeight="1">
      <c r="C52" s="9"/>
    </row>
    <row r="53" ht="15" customHeight="1">
      <c r="C53" s="9"/>
    </row>
    <row r="54" ht="15" customHeight="1">
      <c r="C54" s="9"/>
    </row>
    <row r="55" ht="15" customHeight="1">
      <c r="C55" s="9"/>
    </row>
    <row r="56" ht="15" customHeight="1">
      <c r="C56" s="9"/>
    </row>
    <row r="57" ht="15" customHeight="1">
      <c r="C57" s="9"/>
    </row>
    <row r="58" ht="15" customHeight="1">
      <c r="C58" s="9"/>
    </row>
    <row r="59" ht="15" customHeight="1">
      <c r="C59" s="9"/>
    </row>
    <row r="60" ht="15" customHeight="1">
      <c r="C60" s="9"/>
    </row>
    <row r="61" ht="15" customHeight="1">
      <c r="C61" s="9"/>
    </row>
    <row r="62" ht="15" customHeight="1">
      <c r="C62" s="9"/>
    </row>
    <row r="63" ht="15" customHeight="1">
      <c r="C63" s="9"/>
    </row>
    <row r="64" ht="15" customHeight="1">
      <c r="C64" s="9"/>
    </row>
    <row r="65" ht="15" customHeight="1">
      <c r="C65" s="9"/>
    </row>
    <row r="66" ht="15" customHeight="1">
      <c r="C66" s="9"/>
    </row>
    <row r="67" ht="15" customHeight="1">
      <c r="C67" s="9"/>
    </row>
    <row r="68" ht="15" customHeight="1">
      <c r="C68" s="9"/>
    </row>
    <row r="69" ht="15" customHeight="1">
      <c r="C69" s="9"/>
    </row>
    <row r="70" ht="15" customHeight="1">
      <c r="C70" s="9"/>
    </row>
    <row r="71" ht="15" customHeight="1">
      <c r="C71" s="9"/>
    </row>
    <row r="72" ht="15" customHeight="1">
      <c r="C72" s="9"/>
    </row>
    <row r="73" ht="15" customHeight="1">
      <c r="C73" s="9"/>
    </row>
    <row r="74" ht="15" customHeight="1">
      <c r="C74" s="9"/>
    </row>
    <row r="75" ht="15" customHeight="1">
      <c r="C75" s="9"/>
    </row>
    <row r="76" ht="15" customHeight="1">
      <c r="C76" s="9"/>
    </row>
    <row r="77" ht="15" customHeight="1">
      <c r="C77" s="9"/>
    </row>
    <row r="78" ht="15" customHeight="1">
      <c r="C78" s="9"/>
    </row>
    <row r="79" ht="15" customHeight="1">
      <c r="C79" s="9"/>
    </row>
    <row r="80" ht="15" customHeight="1">
      <c r="C80" s="9"/>
    </row>
    <row r="81" ht="15" customHeight="1">
      <c r="C81" s="9"/>
    </row>
    <row r="82" ht="15" customHeight="1">
      <c r="C82" s="9"/>
    </row>
    <row r="83" ht="15" customHeight="1">
      <c r="C83" s="9"/>
    </row>
    <row r="84" ht="15" customHeight="1">
      <c r="C84" s="9"/>
    </row>
    <row r="85" ht="15" customHeight="1">
      <c r="C85" s="9"/>
    </row>
    <row r="86" ht="15" customHeight="1">
      <c r="C86" s="9"/>
    </row>
    <row r="87" ht="15" customHeight="1">
      <c r="C87" s="9"/>
    </row>
    <row r="88" ht="15" customHeight="1">
      <c r="C88" s="9"/>
    </row>
    <row r="89" ht="15" customHeight="1">
      <c r="C89" s="9"/>
    </row>
    <row r="90" ht="15" customHeight="1">
      <c r="C90" s="9"/>
    </row>
    <row r="91" ht="15" customHeight="1">
      <c r="C91" s="9"/>
    </row>
    <row r="92" ht="15" customHeight="1">
      <c r="C92" s="9"/>
    </row>
    <row r="93" ht="15" customHeight="1">
      <c r="C93" s="9"/>
    </row>
    <row r="94" ht="15" customHeight="1">
      <c r="C94" s="9"/>
    </row>
    <row r="95" ht="15" customHeight="1">
      <c r="C95" s="9"/>
    </row>
    <row r="96" ht="15" customHeight="1">
      <c r="C96" s="9"/>
    </row>
    <row r="97" ht="15" customHeight="1">
      <c r="C97" s="9"/>
    </row>
    <row r="98" ht="15" customHeight="1">
      <c r="C98" s="9"/>
    </row>
    <row r="99" ht="15" customHeight="1">
      <c r="C99" s="9"/>
    </row>
    <row r="100" ht="15" customHeight="1">
      <c r="C100" s="9"/>
    </row>
    <row r="101" ht="15" customHeight="1">
      <c r="C101" s="9"/>
    </row>
    <row r="102" ht="15" customHeight="1">
      <c r="C102" s="9"/>
    </row>
    <row r="103" ht="15" customHeight="1">
      <c r="C103" s="9"/>
    </row>
    <row r="104" ht="15" customHeight="1">
      <c r="C104" s="9"/>
    </row>
    <row r="105" ht="15" customHeight="1">
      <c r="C105" s="9"/>
    </row>
    <row r="106" ht="15" customHeight="1">
      <c r="C106" s="9"/>
    </row>
    <row r="107" ht="15" customHeight="1">
      <c r="C107" s="9"/>
    </row>
    <row r="108" ht="15" customHeight="1">
      <c r="C108" s="9"/>
    </row>
    <row r="109" ht="15" customHeight="1">
      <c r="C109" s="9"/>
    </row>
    <row r="110" ht="15" customHeight="1">
      <c r="C110" s="9"/>
    </row>
    <row r="111" ht="15" customHeight="1">
      <c r="C111" s="9"/>
    </row>
    <row r="112" ht="15" customHeight="1">
      <c r="C112" s="9"/>
    </row>
    <row r="113" ht="15" customHeight="1">
      <c r="C113" s="9"/>
    </row>
    <row r="114" ht="15" customHeight="1">
      <c r="C114" s="9"/>
    </row>
    <row r="115" ht="15" customHeight="1">
      <c r="C115" s="9"/>
    </row>
    <row r="116" ht="15" customHeight="1">
      <c r="C116" s="9"/>
    </row>
    <row r="117" ht="15" customHeight="1">
      <c r="C117" s="9"/>
    </row>
    <row r="118" ht="15" customHeight="1">
      <c r="C118" s="9"/>
    </row>
    <row r="119" ht="15" customHeight="1">
      <c r="C119" s="9"/>
    </row>
    <row r="120" ht="15" customHeight="1">
      <c r="C120" s="9"/>
    </row>
    <row r="121" ht="15" customHeight="1">
      <c r="C121" s="9"/>
    </row>
    <row r="122" ht="15" customHeight="1">
      <c r="C122" s="9"/>
    </row>
    <row r="123" ht="15" customHeight="1">
      <c r="C123" s="9"/>
    </row>
    <row r="124" ht="15" customHeight="1">
      <c r="C124" s="9"/>
    </row>
    <row r="125" ht="15" customHeight="1">
      <c r="C125" s="9"/>
    </row>
    <row r="126" ht="15" customHeight="1">
      <c r="C126" s="9"/>
    </row>
    <row r="127" ht="15" customHeight="1">
      <c r="C127" s="9"/>
    </row>
    <row r="128" ht="15" customHeight="1">
      <c r="C128" s="9"/>
    </row>
    <row r="129" ht="15" customHeight="1">
      <c r="C129" s="9"/>
    </row>
    <row r="130" ht="15" customHeight="1">
      <c r="C130" s="9"/>
    </row>
    <row r="131" ht="15" customHeight="1">
      <c r="C131" s="9"/>
    </row>
    <row r="132" ht="15" customHeight="1">
      <c r="C132" s="9"/>
    </row>
    <row r="133" ht="15" customHeight="1">
      <c r="C133" s="9"/>
    </row>
    <row r="134" ht="15" customHeight="1">
      <c r="C134" s="9"/>
    </row>
    <row r="135" ht="15" customHeight="1">
      <c r="C135" s="9"/>
    </row>
    <row r="136" ht="15" customHeight="1">
      <c r="C136" s="9"/>
    </row>
    <row r="137" ht="15" customHeight="1">
      <c r="C137" s="9"/>
    </row>
    <row r="138" ht="15" customHeight="1">
      <c r="C138" s="9"/>
    </row>
    <row r="139" ht="15" customHeight="1">
      <c r="C139" s="9"/>
    </row>
    <row r="140" ht="15" customHeight="1">
      <c r="C140" s="9"/>
    </row>
    <row r="141" ht="15" customHeight="1">
      <c r="C141" s="9"/>
    </row>
    <row r="142" ht="15" customHeight="1">
      <c r="C142" s="9"/>
    </row>
    <row r="143" ht="15" customHeight="1">
      <c r="C143" s="9"/>
    </row>
    <row r="144" ht="15" customHeight="1">
      <c r="C144" s="9"/>
    </row>
    <row r="145" ht="15" customHeight="1">
      <c r="C145" s="9"/>
    </row>
    <row r="146" ht="15" customHeight="1">
      <c r="C146" s="9"/>
    </row>
    <row r="147" ht="15" customHeight="1">
      <c r="C147" s="9"/>
    </row>
    <row r="148" ht="15" customHeight="1">
      <c r="C148" s="9"/>
    </row>
    <row r="149" ht="15" customHeight="1">
      <c r="C149" s="9"/>
    </row>
    <row r="150" ht="15" customHeight="1">
      <c r="C150" s="9"/>
    </row>
    <row r="151" ht="15" customHeight="1">
      <c r="C151" s="9"/>
    </row>
    <row r="152" ht="15" customHeight="1">
      <c r="C152" s="9"/>
    </row>
    <row r="153" ht="15" customHeight="1">
      <c r="C153" s="9"/>
    </row>
    <row r="154" ht="15" customHeight="1">
      <c r="C154" s="9"/>
    </row>
  </sheetData>
  <mergeCells count="17">
    <mergeCell ref="F2:G2"/>
    <mergeCell ref="H2:I2"/>
    <mergeCell ref="N4:O4"/>
    <mergeCell ref="X4:AC4"/>
    <mergeCell ref="V4:W4"/>
    <mergeCell ref="A1:H1"/>
    <mergeCell ref="C2:D2"/>
    <mergeCell ref="A2:B2"/>
    <mergeCell ref="B4:H4"/>
    <mergeCell ref="A4:A5"/>
    <mergeCell ref="T4:U4"/>
    <mergeCell ref="I4:L4"/>
    <mergeCell ref="P4:S4"/>
    <mergeCell ref="A17:H17"/>
    <mergeCell ref="AD6:AD15"/>
    <mergeCell ref="A3:H3"/>
    <mergeCell ref="AD4:AD5"/>
  </mergeCells>
  <phoneticPr fontId="1" type="noConversion"/>
  <dataValidations count="1">
    <dataValidation type="list" allowBlank="1" showInputMessage="1" showErrorMessage="1" prompt="㧐禵_x0002_" sqref="C3:C16 C18:C24 C47:C154">
      <formula1>"统一地址运营,数字孪生基座,数智网格化系统,地址资源运营平台,智域地图平台,空间聚合服务,警情时空分析,110实时警情定位服务,警务社区可视化平台,数据工程,数据资产,数据服务,数据运营,项目定制,项目分包"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2026-09-20T14:28:16Z</dcterms:modified>
</cp:coreProperties>
</file>