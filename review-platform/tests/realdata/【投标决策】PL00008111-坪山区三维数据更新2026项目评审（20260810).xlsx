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投标决策评审-信息收集与前置评审" sheetId="1" r:id="rId1"/>
    <sheet name="附1-预算表" sheetId="2" r:id="rId2"/>
    <sheet name="附3-交付成本评估" sheetId="3" r:id="rId3"/>
  </sheets>
  <calcPr calcId="0"/>
</workbook>
</file>

<file path=xl/sharedStrings.xml><?xml version="1.0" encoding="utf-8"?>
<sst xmlns="http://schemas.openxmlformats.org/spreadsheetml/2006/main">
  <si>
    <t>投标决策评审 — 信息收集与前置评审表</t>
  </si>
  <si>
    <t>Part A：项目基础信息（由申请人填写）</t>
  </si>
  <si>
    <t>商机名称</t>
  </si>
  <si>
    <t>坪山区三维数据更新2026</t>
  </si>
  <si>
    <t>商机代码</t>
  </si>
  <si>
    <t>PL00008111</t>
  </si>
  <si>
    <t>商机阶段</t>
  </si>
  <si>
    <t>投标决策</t>
  </si>
  <si>
    <t>营销区域</t>
  </si>
  <si>
    <t>华南营销处</t>
  </si>
  <si>
    <t>业务线</t>
  </si>
  <si>
    <t>G1</t>
  </si>
  <si>
    <t>最终客户名称</t>
  </si>
  <si>
    <t>深圳市坪山区政务服务和数据管理局</t>
  </si>
  <si>
    <t>销售经理</t>
  </si>
  <si>
    <t>熊惠</t>
  </si>
  <si>
    <t>项目经理</t>
  </si>
  <si>
    <t>邓先明</t>
  </si>
  <si>
    <t>预计合同金额（万元）</t>
  </si>
  <si>
    <t>预计签单时间</t>
  </si>
  <si>
    <t>预计贡献毛利率（%）</t>
  </si>
  <si>
    <t>项目已发生成本（万元）</t>
  </si>
  <si>
    <t>项目运维周期</t>
  </si>
  <si>
    <t>/</t>
  </si>
  <si>
    <r>
      <rPr>
        <b/>
        <color rgb="FF1F3864"/>
        <rFont val="微软雅黑"/>
        <sz val="9.5"/>
      </rPr>
      <t xml:space="preserve">是否存在转包限制</t>
    </r>
    <r>
      <rPr>
        <b/>
        <color rgb="FF1F3864"/>
        <rFont val="微软雅黑"/>
        <sz val="6"/>
      </rPr>
      <t xml:space="preserve">（客户/客户上游禁止转包）</t>
    </r>
  </si>
  <si>
    <t>否</t>
  </si>
  <si>
    <t>项目概述</t>
  </si>
  <si>
    <r>
      <rPr>
        <color rgb="FF000000"/>
        <rFont val="微软雅黑"/>
        <sz val="10"/>
      </rPr>
      <t xml:space="preserve">项目目的及建设目标： 立足原有数据建设基础，继续丰富时空数据资源。建设和更新一系列影像数据和矢量专题数据，确保数据的准确性和时效性。结合坪山区的实际需求，保障坪山区时空信息云平台正常运行，使之能够满足坪山区各局办日益增长的业务需求，更好支撑各单位业务应用。项目签一续三，今年是第三年。</t>
    </r>
    <r>
      <t xml:space="preserve">
</t>
    </r>
    <r>
      <t xml:space="preserve">
</t>
    </r>
    <r>
      <rPr>
        <color rgb="FF000000"/>
        <rFont val="微软雅黑"/>
        <sz val="10"/>
      </rPr>
      <t xml:space="preserve">采购范围及内容：本次采购服务项目范围包括对坪山区时空信息云平台相关数据更新服务，商业地图标注错误修复及时空信息云平台一年的保障服务。</t>
    </r>
    <r>
      <t xml:space="preserve">
</t>
    </r>
    <r>
      <rPr>
        <color rgb="FF000000"/>
        <rFont val="微软雅黑"/>
        <sz val="10"/>
      </rPr>
      <t xml:space="preserve">一、数据服务：</t>
    </r>
    <r>
      <t xml:space="preserve">
</t>
    </r>
    <r>
      <rPr>
        <color rgb="FF000000"/>
        <rFont val="微软雅黑"/>
        <sz val="10"/>
      </rPr>
      <t xml:space="preserve">1、分包原世界：①航空三维实景；③卫星影像；④底商纹理数据融合；⑤专题影像图制作；⑥地图打印及装裱。</t>
    </r>
    <r>
      <t xml:space="preserve">
</t>
    </r>
    <r>
      <rPr>
        <color rgb="FF000000"/>
        <rFont val="微软雅黑"/>
        <sz val="10"/>
      </rPr>
      <t xml:space="preserve">2、丰图负责：⑦地名地址更新服务一次。</t>
    </r>
    <r>
      <t xml:space="preserve">
</t>
    </r>
    <r>
      <rPr>
        <color rgb="FF000000"/>
        <rFont val="微软雅黑"/>
        <sz val="10"/>
      </rPr>
      <t xml:space="preserve">3、分包智信：⑧实体数据：不少于3类实体数据共2万个数据建设。</t>
    </r>
    <r>
      <t xml:space="preserve">
</t>
    </r>
    <r>
      <rPr>
        <color rgb="FF000000"/>
        <rFont val="微软雅黑"/>
        <sz val="10"/>
      </rPr>
      <t xml:space="preserve">4、分包武测：⑨数据展示要求：对数据进行处理并导入平台进行展示。</t>
    </r>
    <r>
      <t xml:space="preserve">
</t>
    </r>
    <r>
      <rPr>
        <color rgb="FF000000"/>
        <rFont val="微软雅黑"/>
        <sz val="10"/>
      </rPr>
      <t xml:space="preserve">二、保障服务（现场4人负责）：1.系统巡检；2.故障处理；3.特殊防护期保障；4.应急响应保障；5.提供数据备份服务；6.备品备件。</t>
    </r>
  </si>
  <si>
    <t>签约路径</t>
  </si>
  <si>
    <t>深圳市坪山区政务服务和数据管理局→丰图科技（深圳）有限公司</t>
  </si>
  <si>
    <r>
      <rPr>
        <b/>
        <color rgb="FF1F3864"/>
        <rFont val="微软雅黑"/>
        <sz val="9.5"/>
      </rPr>
      <t xml:space="preserve">是否涉及测绘</t>
    </r>
    <r>
      <rPr>
        <b/>
        <color rgb="FF1F3864"/>
        <rFont val="微软雅黑"/>
        <sz val="6"/>
      </rPr>
      <t xml:space="preserve">（涉及外业采集或地图）</t>
    </r>
  </si>
  <si>
    <t>是</t>
  </si>
  <si>
    <t>是否涉及甲导资质</t>
  </si>
  <si>
    <r>
      <rPr>
        <b/>
        <color rgb="FF1F3864"/>
        <rFont val="微软雅黑"/>
        <sz val="9.5"/>
      </rPr>
      <t xml:space="preserve">是否涉密项目</t>
    </r>
    <r>
      <rPr>
        <b/>
        <color rgb="FF1F3864"/>
        <rFont val="微软雅黑"/>
        <sz val="6"/>
      </rPr>
      <t xml:space="preserve">（涉及保密资质）</t>
    </r>
  </si>
  <si>
    <t>分包总金额（万元）</t>
  </si>
  <si>
    <t>指定类分包金额（万元）</t>
  </si>
  <si>
    <t>测绘类分包金额（万元）</t>
  </si>
  <si>
    <t>分包是否涉及公司核心能力</t>
  </si>
  <si>
    <t>项目推广激励面向对象</t>
  </si>
  <si>
    <t>无</t>
  </si>
  <si>
    <t>项目推广激励（万元）</t>
  </si>
  <si>
    <t>结算方式</t>
  </si>
  <si>
    <t>银行转账</t>
  </si>
  <si>
    <t>预计回款时间</t>
  </si>
  <si>
    <t>预计26年Q3回款50%，27年Q2回款35%，27年Q3回款5%</t>
  </si>
  <si>
    <t>付款条件</t>
  </si>
  <si>
    <t>第一次付款：服务方案通过甲方确认后，申请支付合同款 50%。
第二次付款：服务期满半年后，申请支付合同款 35%。
第三次付款：合同约定的服务期满后，经甲方确认乙方已全面履行了本合同义务并经甲方验收合格后申请支付合同剩余款项（剩余款项=合同价*15%-扣款金额-违约金）。</t>
  </si>
  <si>
    <t>合同背靠背场景</t>
  </si>
  <si>
    <t>回款+验收=均非背靠背</t>
  </si>
  <si>
    <t>确收方式及预估确收时间</t>
  </si>
  <si>
    <t>2026.9-2027.8，按月分摊确收110.9万元，终验确收其他份额，预计27年Q3终验</t>
  </si>
  <si>
    <t>合同是否存在提供担保或为他人提供担保</t>
  </si>
  <si>
    <t>合同是否存在竞业条款</t>
  </si>
  <si>
    <t>合同是否有转包限制</t>
  </si>
  <si>
    <t>项目是否涉及硬件所有权归属</t>
  </si>
  <si>
    <t>是否涉及SF小哥相关业务</t>
  </si>
  <si>
    <t>是否涉及数据跨境传输或红线禁止数据</t>
  </si>
  <si>
    <t>项目所在地省份</t>
  </si>
  <si>
    <t>广东省</t>
  </si>
  <si>
    <t>产品售卖类型</t>
  </si>
  <si>
    <t>非标品</t>
  </si>
  <si>
    <t>B2业务类型</t>
  </si>
  <si>
    <t>请选择</t>
  </si>
  <si>
    <t>标品售价标准</t>
  </si>
  <si>
    <t>不涉及标品</t>
  </si>
  <si>
    <t>Part B：非量化类关键评审指标-前置评审</t>
  </si>
  <si>
    <t>序号</t>
  </si>
  <si>
    <t>评审维度
（部门）</t>
  </si>
  <si>
    <t>评判指标</t>
  </si>
  <si>
    <t>辅助指标/说明</t>
  </si>
  <si>
    <t>绿灯标准
（免上会）</t>
  </si>
  <si>
    <t>黄灯标准
（上会决策）</t>
  </si>
  <si>
    <t>红灯标准
（红线禁止）</t>
  </si>
  <si>
    <t>风险等级
（红/黄/绿）</t>
  </si>
  <si>
    <t>前置评审意见</t>
  </si>
  <si>
    <t>前置评审人
（签字）</t>
  </si>
  <si>
    <t/>
  </si>
  <si>
    <t>部门评审↓</t>
  </si>
  <si>
    <t>业务/采购</t>
  </si>
  <si>
    <t>分包合理性</t>
  </si>
  <si>
    <t>分包能力是否核心能力、是否指定性、付款条款不合理、下游分包方资质</t>
  </si>
  <si>
    <t>非公司核心能力分包，且非指定性分包、测绘类项目下游分包方有测绘资质、付款条款为背靠背、供应商资质合格</t>
  </si>
  <si>
    <t>公司核心能力被分包（指定性分包需上XO级）、付款条款不为背靠背、测绘类项目下游供应商无测绘资质、供应商资质不合格等</t>
  </si>
  <si>
    <t>绿灯</t>
  </si>
  <si>
    <t>三个指定分包金额为客户指定价格，请业务部分确认。
1、三维数据更新：指定深圳原世界科技有限公司，48.7万。
①资质：原世界为公司常合作供应商，有测绘相关资质，历史合作良好。
②成本：经线下沟通本次采购价格为客户指定价格。
2、城市实体数据采集：指定北京智信遥感地理信息技术有限公司，16.6万。
①资质：北京智信为2025年城市实体数据采集分包商，历史合作良好，资质满足要去。
②成本：经线下沟通本次采购价格为客户指定价格。
3、系统运维：深圳市武测空间信息有限公司，分包内容平台运维服务，3.5万元。
①资质：深圳武测为2025年系统运维分包商，历史合作良好，履约无问题。
②成本：经线下沟通本次采购价格为客户指定价格。
4、人力外包（110.9万）：项目分包服务人员4名，历史采用岗位外包服务模式与库内供应商恒英合作，目前稳定服务中。</t>
  </si>
  <si>
    <t>采购BP/FDE</t>
  </si>
  <si>
    <t>业务</t>
  </si>
  <si>
    <t>技术可行性</t>
  </si>
  <si>
    <t>无技术风险</t>
  </si>
  <si>
    <t>存在交付侧技术风险，但在客户需求边界/预期交付边界控制情况下可完成交付</t>
  </si>
  <si>
    <t>技术侧无法交付，因成本/资质问题无法分包</t>
  </si>
  <si>
    <t>同意</t>
  </si>
  <si>
    <t>FDE工程师</t>
  </si>
  <si>
    <t>财务</t>
  </si>
  <si>
    <t>客户历史欠款</t>
  </si>
  <si>
    <t>逾期天数/逾期金额</t>
  </si>
  <si>
    <t>无；或存在终验款和质保金逾期，销售愿意背书在90天内拿回终验款</t>
  </si>
  <si>
    <t>其他逾期款情况</t>
  </si>
  <si>
    <t>黄灯</t>
  </si>
  <si>
    <t>25年合同的半年款还未回完，13万逾期未回，仅同意逾期款回后签合同</t>
  </si>
  <si>
    <t>财务BP</t>
  </si>
  <si>
    <t>签约客户/最终客户信用评估</t>
  </si>
  <si>
    <t>客户评级制度、工商公开信息等</t>
  </si>
  <si>
    <t>政府/央企/国有企业等优质客户
非国有小微企业满足：成立≥5年、人员≥10、近三月有中标、法人无失信、无诉讼</t>
  </si>
  <si>
    <t>"皮包公司"或财政和资金状况较差</t>
  </si>
  <si>
    <t>黑名单客户</t>
  </si>
  <si>
    <t>集团公司关联交易金额</t>
  </si>
  <si>
    <t>年度关联交易预算金额</t>
  </si>
  <si>
    <t>累计关联交易预算金额≤100w</t>
  </si>
  <si>
    <t>累计关联交易预算金额＞100w</t>
  </si>
  <si>
    <t>1、明确有预付款条款，且约定具体付款期间
2、硬件销售部分100%预付
3、软件销售部分100%预付或**%预付，验收后10日内支付剩余</t>
  </si>
  <si>
    <t>1、无预付条款，或无约定具体付款期间
2、硬件销售部分非100%预付，但无垫资（供应商承担）
3、软件销售部分不满足免上会条件，且非背靠背</t>
  </si>
  <si>
    <t>1、硬件销售部分非100%预付，存在垫资
2、软件销售部分为背靠背</t>
  </si>
  <si>
    <r>
      <rPr>
        <color rgb="FF000000"/>
        <rFont val="宋体"/>
        <sz val="11"/>
      </rPr>
      <t xml:space="preserve">1、毛利风险较低：贡毛＞0%，高于基准线；
</t>
    </r>
    <r>
      <t xml:space="preserve">
</t>
    </r>
    <r>
      <rPr>
        <color rgb="FF000000"/>
        <rFont val="宋体"/>
        <sz val="11"/>
      </rPr>
      <t xml:space="preserve">2、回款风险较低：政府直签项目，为续签项目，</t>
    </r>
    <r>
      <rPr>
        <color rgb="FFFE0300"/>
        <rFont val="宋体"/>
        <sz val="11"/>
      </rPr>
      <t xml:space="preserve">但25年合同的半年款还未回完，13万逾期未回，仅同意逾期款回后签合同</t>
    </r>
    <r>
      <rPr>
        <color rgb="FF000000"/>
        <rFont val="宋体"/>
        <sz val="11"/>
      </rPr>
      <t xml:space="preserve">，此客户其他款项回款情况良好；
</t>
    </r>
    <r>
      <t xml:space="preserve">
</t>
    </r>
    <r>
      <rPr>
        <color rgb="FF000000"/>
        <rFont val="宋体"/>
        <sz val="11"/>
      </rPr>
      <t xml:space="preserve">3、售前投入：截止到2026年7月31日，无交付投入；
</t>
    </r>
    <r>
      <t xml:space="preserve">
</t>
    </r>
    <r>
      <rPr>
        <color rgb="FF000000"/>
        <rFont val="宋体"/>
        <sz val="11"/>
      </rPr>
      <t xml:space="preserve">4、确收方式：分摊+终验确收；
</t>
    </r>
    <r>
      <t xml:space="preserve">
</t>
    </r>
    <r>
      <rPr>
        <color rgb="FF000000"/>
        <rFont val="宋体"/>
        <sz val="11"/>
      </rPr>
      <t xml:space="preserve">5、回款条件：方案确认50%，满半年35%，服务期满15%（预计26年回款50%）</t>
    </r>
  </si>
  <si>
    <t>法务</t>
  </si>
  <si>
    <t>上游签约路径公司情况</t>
  </si>
  <si>
    <t>异常经营记录、营业执照、失信名单、与丰图之间是否存在诉讼、被执行记录、行政处罚记录</t>
  </si>
  <si>
    <t>1、无异常记录
2、与丰图无诉讼案件；或诉讼中丰图为第三人，不涉及义务承担
3、无被执行记录；或已执行完毕且与项目无关
4、无处罚记录；或非近三年已履行完毕且与项目无关</t>
  </si>
  <si>
    <t>1、与丰图有诉讼案件，但丰图为第三人涉及义务承担、已判决/和解但款项未完全支付、或已完结
2、有执行纪录，近三年已执行完毕，与项目相关或涉及金钱给付
3、有行政处罚纪录，但近三年已履行完毕且与项目无关或不涉及资质处罚</t>
  </si>
  <si>
    <t>1、存在异常经营记录；营业执照被吊销；列入失信名单；被提起破产清算等
2、与丰图有诉讼案件，且丰图作为原告/被告，未开庭/未和解
3、有执行纪录，且执行中状态；未履行义务；列入失信被执行人
4、有行政处罚纪录，且未履行完毕；涉及资质处罚</t>
  </si>
  <si>
    <t>1.截至20260811，坪山政数局与丰图之间不存在诉讼，无相关异常情形；
2.25年项目合同中有根据履约评价续签条款，约定：协议期内所有合同实质性条款不得改变。双方每签一年协议后需到坪山区财政局备案。请业务侧注意跟进。</t>
  </si>
  <si>
    <t>转包限制风险</t>
  </si>
  <si>
    <t>客户转包或丰图直签分包限制</t>
  </si>
  <si>
    <t>丰图内部关联交易无需二次评审</t>
  </si>
  <si>
    <t>有背靠背转移风险约定且可转移给供应商</t>
  </si>
  <si>
    <t>背靠背约定但丰图自行交付/供应商无法满足风险转移，违约责任超X万</t>
  </si>
  <si>
    <t>指定分包+延续上一年供应商</t>
  </si>
  <si>
    <t>合规</t>
  </si>
  <si>
    <t>合规风险</t>
  </si>
  <si>
    <t>甲测/甲导资质风险、审图风险</t>
  </si>
  <si>
    <t>1. 无风险；
2. 已有管控举措。风险可控，不影响丰图资质。</t>
  </si>
  <si>
    <t>1. 风险存在不确定性；
2. 对资质存在明确影响，但不严重，影响范围可接受。</t>
  </si>
  <si>
    <t>对资质存在明确影响，非常严重，影响范围不可接受。</t>
  </si>
  <si>
    <t>分包由甲方指定。</t>
  </si>
  <si>
    <t>坪山区三维数据更新2026-预算表（项目经理提供数据； 单位：元）</t>
  </si>
  <si>
    <t>所属部门</t>
  </si>
  <si>
    <t>泛政务一部</t>
  </si>
  <si>
    <t>项目名称（内部）</t>
  </si>
  <si>
    <t>商务经理</t>
  </si>
  <si>
    <t>渠道调节系数</t>
  </si>
  <si>
    <t>所属营销大区</t>
  </si>
  <si>
    <t>客户名称</t>
  </si>
  <si>
    <t>项目代码</t>
  </si>
  <si>
    <t>预计开始时间</t>
  </si>
  <si>
    <t>预计终验时间</t>
  </si>
  <si>
    <t>运维周期（质保期）</t>
  </si>
  <si>
    <t>项目阶段</t>
  </si>
  <si>
    <t>项目难度系数</t>
  </si>
  <si>
    <t>成本测算</t>
  </si>
  <si>
    <t>合同金额</t>
  </si>
  <si>
    <t>项目收入</t>
  </si>
  <si>
    <t>分包采购成本</t>
  </si>
  <si>
    <t>软件类生产外包</t>
  </si>
  <si>
    <t>项目净收入</t>
  </si>
  <si>
    <r>
      <rPr>
        <color rgb="FFFFFFFF"/>
        <rFont val="微软雅黑"/>
        <sz val="10"/>
      </rPr>
      <t xml:space="preserve">交付成本</t>
    </r>
    <r>
      <rPr>
        <color rgb="FFFFFFFF"/>
        <rFont val="微软雅黑"/>
        <sz val="9"/>
      </rPr>
      <t xml:space="preserve">
（含数据类生产外包）</t>
    </r>
  </si>
  <si>
    <t>标品成本</t>
  </si>
  <si>
    <t>毛利/率测算</t>
  </si>
  <si>
    <t>项目推广激励（灵活用工）</t>
  </si>
  <si>
    <r>
      <rPr>
        <color rgb="FFFFFFFF"/>
        <rFont val="微软雅黑"/>
        <sz val="10"/>
      </rPr>
      <t xml:space="preserve">销售成本</t>
    </r>
    <r>
      <rPr>
        <color rgb="FFFFFFFF"/>
        <rFont val="微软雅黑"/>
        <sz val="9"/>
      </rPr>
      <t xml:space="preserve">
（含税金，不含激励）</t>
    </r>
  </si>
  <si>
    <r>
      <rPr>
        <color rgb="FFFFFFFF"/>
        <rFont val="微软雅黑"/>
        <sz val="10"/>
      </rPr>
      <t xml:space="preserve">销售考核利润</t>
    </r>
    <r>
      <rPr>
        <color rgb="FFFFFFFF"/>
        <rFont val="微软雅黑"/>
        <sz val="9"/>
      </rPr>
      <t xml:space="preserve">
（含税金，不含激励）</t>
    </r>
  </si>
  <si>
    <t>销售考核毛利率</t>
  </si>
  <si>
    <r>
      <rPr>
        <color rgb="FFFFFFFF"/>
        <rFont val="微软雅黑"/>
        <sz val="10"/>
      </rPr>
      <t xml:space="preserve">贡献毛利</t>
    </r>
    <r>
      <rPr>
        <color rgb="FFFFFFFF"/>
        <rFont val="微软雅黑"/>
        <sz val="9"/>
      </rPr>
      <t xml:space="preserve">
（已扣除激励）</t>
    </r>
  </si>
  <si>
    <t>贡献毛利率</t>
  </si>
  <si>
    <r>
      <rPr>
        <color rgb="FFFFFFFF"/>
        <rFont val="微软雅黑"/>
        <sz val="10"/>
      </rPr>
      <t xml:space="preserve">交付成本占净收入比</t>
    </r>
    <r>
      <rPr>
        <color rgb="FFFFFFFF"/>
        <rFont val="微软雅黑"/>
        <sz val="9"/>
      </rPr>
      <t xml:space="preserve">
（与决算偏差±10%以内）</t>
    </r>
  </si>
  <si>
    <t>销售总成本占净收入比</t>
  </si>
  <si>
    <t>成本大类</t>
  </si>
  <si>
    <t>成本小类</t>
  </si>
  <si>
    <t>计算逻辑说明</t>
  </si>
  <si>
    <t>成本小计</t>
  </si>
  <si>
    <t>成本占项目收入比</t>
  </si>
  <si>
    <t>成本评估备注</t>
  </si>
  <si>
    <t>分成分包</t>
  </si>
  <si>
    <t>1、项目集成分包、项目日常运维分包费用
2、定制化软件开发的分包费用
3、技术服务费</t>
  </si>
  <si>
    <r>
      <rPr>
        <b/>
        <color rgb="FFFE0300"/>
        <rFont val="微软雅黑"/>
        <sz val="10"/>
      </rPr>
      <t xml:space="preserve">指定分包1</t>
    </r>
    <r>
      <rPr>
        <color rgb="FF000000"/>
        <rFont val="微软雅黑"/>
        <sz val="10"/>
      </rPr>
      <t xml:space="preserve">：深圳原世界科技有限公司，分包金额48.7万。</t>
    </r>
    <r>
      <t xml:space="preserve">
</t>
    </r>
    <r>
      <rPr>
        <color rgb="FF000000"/>
        <rFont val="微软雅黑"/>
        <sz val="10"/>
      </rPr>
      <t xml:space="preserve">分包内容：</t>
    </r>
    <r>
      <t xml:space="preserve">
</t>
    </r>
    <r>
      <rPr>
        <color rgb="FF000000"/>
        <rFont val="微软雅黑"/>
        <sz val="10"/>
      </rPr>
      <t xml:space="preserve">1.采购坪山实景三维更新</t>
    </r>
    <r>
      <t xml:space="preserve">
</t>
    </r>
    <r>
      <rPr>
        <color rgb="FF000000"/>
        <rFont val="微软雅黑"/>
        <sz val="10"/>
      </rPr>
      <t xml:space="preserve">①更新区域不少于10平方公里，包括2cm地物分辨率不少于4平方公里，5cm地物分辨率不少于6平方公里。</t>
    </r>
    <r>
      <t xml:space="preserve">
</t>
    </r>
    <r>
      <rPr>
        <color rgb="FF000000"/>
        <rFont val="微软雅黑"/>
        <sz val="10"/>
      </rPr>
      <t xml:space="preserve">②全区168平方公里的二维正射影像采集。</t>
    </r>
    <r>
      <t xml:space="preserve">
</t>
    </r>
    <r>
      <rPr>
        <color rgb="FF000000"/>
        <rFont val="微软雅黑"/>
        <sz val="10"/>
      </rPr>
      <t xml:space="preserve">③对航空三维实景重点更新区域的模型底商纹理进行融合，保证实景三维模型数据底商纹理完整清晰。</t>
    </r>
    <r>
      <t xml:space="preserve">
</t>
    </r>
    <r>
      <rPr>
        <color rgb="FF000000"/>
        <rFont val="微软雅黑"/>
        <sz val="10"/>
      </rPr>
      <t xml:space="preserve">④专题影像图制作和打印，11幅。</t>
    </r>
    <r>
      <t xml:space="preserve">
</t>
    </r>
    <r>
      <rPr>
        <color rgb="FF000000"/>
        <rFont val="微软雅黑"/>
        <sz val="10"/>
      </rPr>
      <t xml:space="preserve">2.采购全区卫星影像采集2幅，要求具备红外波段。</t>
    </r>
    <r>
      <t xml:space="preserve">
</t>
    </r>
    <r>
      <rPr>
        <color rgb="FF000000"/>
        <rFont val="微软雅黑"/>
        <sz val="10"/>
      </rPr>
      <t xml:space="preserve">3.数据质检。</t>
    </r>
    <r>
      <t xml:space="preserve">
</t>
    </r>
    <r>
      <rPr>
        <color rgb="FF000000"/>
        <rFont val="微软雅黑"/>
        <sz val="10"/>
      </rPr>
      <t xml:space="preserve">4.专家技术评审。</t>
    </r>
    <r>
      <t xml:space="preserve">
</t>
    </r>
    <r>
      <t xml:space="preserve">
</t>
    </r>
    <r>
      <rPr>
        <b/>
        <color rgb="FFFE0300"/>
        <rFont val="微软雅黑"/>
        <sz val="10"/>
      </rPr>
      <t xml:space="preserve">指定分包2</t>
    </r>
    <r>
      <rPr>
        <color rgb="FF000000"/>
        <rFont val="微软雅黑"/>
        <sz val="10"/>
      </rPr>
      <t xml:space="preserve">：北京智信遥感地理信息技术有限公司，分包金额16.6万。</t>
    </r>
    <r>
      <t xml:space="preserve">
</t>
    </r>
    <r>
      <rPr>
        <color rgb="FF000000"/>
        <rFont val="微软雅黑"/>
        <sz val="10"/>
      </rPr>
      <t xml:space="preserve">分包内容：采购完成工地实体、产业园区实体、摄像头实体数据接入处理。</t>
    </r>
    <r>
      <t xml:space="preserve">
</t>
    </r>
    <r>
      <t xml:space="preserve">
</t>
    </r>
    <r>
      <rPr>
        <b/>
        <color rgb="FFFE0300"/>
        <rFont val="微软雅黑"/>
        <sz val="10"/>
      </rPr>
      <t xml:space="preserve">指定分包3</t>
    </r>
    <r>
      <rPr>
        <color rgb="FF000000"/>
        <rFont val="微软雅黑"/>
        <sz val="10"/>
      </rPr>
      <t xml:space="preserve">：深圳市武测空间信息有限公司，分包内容平台运维服务，3.5万元。</t>
    </r>
    <r>
      <t xml:space="preserve">
</t>
    </r>
    <r>
      <t xml:space="preserve">
</t>
    </r>
    <r>
      <rPr>
        <b/>
        <color rgb="FFFE0300"/>
        <rFont val="微软雅黑"/>
        <sz val="10"/>
      </rPr>
      <t xml:space="preserve">非指定分包4</t>
    </r>
    <r>
      <rPr>
        <color rgb="FF000000"/>
        <rFont val="微软雅黑"/>
        <sz val="10"/>
      </rPr>
      <t xml:space="preserve">：备品备件（移动盘，用于存储数据），0.2万元。</t>
    </r>
    <r>
      <t xml:space="preserve">
</t>
    </r>
    <r>
      <t xml:space="preserve">
</t>
    </r>
    <r>
      <rPr>
        <b/>
        <color rgb="FFFE0300"/>
        <rFont val="微软雅黑"/>
        <sz val="10"/>
      </rPr>
      <t xml:space="preserve">非指定分包5</t>
    </r>
    <r>
      <rPr>
        <color rgb="FF000000"/>
        <rFont val="微软雅黑"/>
        <sz val="10"/>
      </rPr>
      <t xml:space="preserve">：驻点人员费用包，110.903692万元。</t>
    </r>
  </si>
  <si>
    <t>软件类生产相关的内、外业人员的生产外包人力成本</t>
  </si>
  <si>
    <t>丰图产品不具备交付能力但是从项目层面需要进行包装整合。比如三维建模，BIM数据生产。</t>
  </si>
  <si>
    <t>小创云等灵活用工平台的费用预算</t>
  </si>
  <si>
    <t>从净收入中剔除，即【净收入=收入-分包-软件类生产外包-灵活用工】</t>
  </si>
  <si>
    <t>销售成本</t>
  </si>
  <si>
    <t>人力成本</t>
  </si>
  <si>
    <t>自有人员</t>
  </si>
  <si>
    <t>自有市场营销部人员成本（含销售、解决方案、CMO办公室、招投标组人力成本）</t>
  </si>
  <si>
    <r>
      <rPr>
        <color rgb="FF000000"/>
        <rFont val="微软雅黑"/>
        <sz val="10"/>
      </rPr>
      <t xml:space="preserve">按财务最新发布，</t>
    </r>
    <r>
      <rPr>
        <color rgb="FF000000"/>
        <rFont val="微软雅黑"/>
        <sz val="10"/>
      </rPr>
      <t xml:space="preserve">26年销售人力标准成本</t>
    </r>
    <r>
      <rPr>
        <color rgb="FF000000"/>
        <rFont val="微软雅黑"/>
        <sz val="10"/>
      </rPr>
      <t xml:space="preserve">=净签单/万*1727元。
示例：某项目合同总额500万，分包300万，26年销售人力标准成本=（500-300）*1727=345400元。</t>
    </r>
  </si>
  <si>
    <t>销售费用包</t>
  </si>
  <si>
    <t>差旅费</t>
  </si>
  <si>
    <t>项目客户拜访等发生的差旅（需包含解决方案成本）</t>
  </si>
  <si>
    <t>招待费</t>
  </si>
  <si>
    <t>项目客户拜访等发生的招待费用（需包含解决方案成本）</t>
  </si>
  <si>
    <t>市场营销</t>
  </si>
  <si>
    <t>市场营销费用、投标阶段的专家费等</t>
  </si>
  <si>
    <t>税金</t>
  </si>
  <si>
    <t>税后收入*1％（已设置公式，自动计算）</t>
  </si>
  <si>
    <t>销售及售前激励</t>
  </si>
  <si>
    <r>
      <rPr>
        <b/>
        <color rgb="FF00B050"/>
        <rFont val="微软雅黑"/>
        <sz val="10"/>
      </rPr>
      <t xml:space="preserve">销售考核利润（不含激励）*7.7%（包含销售与售前的激励）
（已设置公式，自动计算）</t>
    </r>
  </si>
  <si>
    <t>*部分银行项目销售及售前激励=销售考核利润（不含激励）*5.7%*0.4</t>
  </si>
  <si>
    <t>交付成本</t>
  </si>
  <si>
    <t>1、用于本项目交付实施的技术架构、研发、产品经理、交付运营、测试、运维等自有员工成本（需包含项目运维成本）</t>
  </si>
  <si>
    <r>
      <rPr>
        <color rgb="FF000000"/>
        <rFont val="微软雅黑"/>
        <sz val="10"/>
      </rPr>
      <t xml:space="preserve">1）</t>
    </r>
    <r>
      <rPr>
        <color rgb="FF000000"/>
        <rFont val="微软雅黑"/>
        <sz val="10"/>
      </rPr>
      <t xml:space="preserve">泛政业务一部26年标准成本</t>
    </r>
    <r>
      <rPr>
        <color rgb="FF000000"/>
        <rFont val="微软雅黑"/>
        <sz val="10"/>
      </rPr>
      <t xml:space="preserve">：
     ①自有人天-交付处：1,696元/天
     ②自有人天-行业拓展处：2303元/天
2）</t>
    </r>
    <r>
      <rPr>
        <color rgb="FF000000"/>
        <rFont val="微软雅黑"/>
        <sz val="10"/>
      </rPr>
      <t xml:space="preserve">企业服务发展部26年标准成本</t>
    </r>
    <r>
      <rPr>
        <color rgb="FF000000"/>
        <rFont val="微软雅黑"/>
        <sz val="10"/>
      </rPr>
      <t xml:space="preserve">：
     ①自有人天-公共服务业务处：2204元/天
     ②自有人天-行业售前方案处：2350元/天
     ③自有人天-企业产品研发处：3001元/天
3）</t>
    </r>
    <r>
      <rPr>
        <color rgb="FF000000"/>
        <rFont val="微软雅黑"/>
        <sz val="10"/>
      </rPr>
      <t xml:space="preserve">基础平台产品部26年标准成本：</t>
    </r>
    <r>
      <rPr>
        <color rgb="FF000000"/>
        <rFont val="微软雅黑"/>
        <sz val="10"/>
      </rPr>
      <t xml:space="preserve">
     ①自有人天-数据产品处：1720元/天
     ②自有人天-智能地图处：1752元/天
     ③自有人天-公共组件处：1374元/天</t>
    </r>
  </si>
  <si>
    <t>研发外包</t>
  </si>
  <si>
    <r>
      <rPr>
        <b/>
        <color rgb="FF00B050"/>
        <rFont val="微软雅黑"/>
        <sz val="10"/>
      </rPr>
      <t xml:space="preserve">1、用于本项目交付实施的项目助理、研发、产品经理、交付运营、测试、运维等外包员工成本</t>
    </r>
  </si>
  <si>
    <r>
      <rPr>
        <color rgb="FF000000"/>
        <rFont val="微软雅黑"/>
        <sz val="10"/>
      </rPr>
      <t xml:space="preserve">1）</t>
    </r>
    <r>
      <rPr>
        <color rgb="FF000000"/>
        <rFont val="微软雅黑"/>
        <sz val="10"/>
      </rPr>
      <t xml:space="preserve">泛政业务一部26年标准成本</t>
    </r>
    <r>
      <rPr>
        <color rgb="FF000000"/>
        <rFont val="微软雅黑"/>
        <sz val="10"/>
      </rPr>
      <t xml:space="preserve">：
     ①研发外包：995元/天；
2）</t>
    </r>
    <r>
      <rPr>
        <color rgb="FF000000"/>
        <rFont val="微软雅黑"/>
        <sz val="10"/>
      </rPr>
      <t xml:space="preserve">企业服务发展部26年标准成本</t>
    </r>
    <r>
      <rPr>
        <color rgb="FF000000"/>
        <rFont val="微软雅黑"/>
        <sz val="10"/>
      </rPr>
      <t xml:space="preserve">：
     ①研发外包：1,022元/人天；</t>
    </r>
  </si>
  <si>
    <t>生产人员成本</t>
  </si>
  <si>
    <t>数据类生产外包</t>
  </si>
  <si>
    <t>数据类生产相关的内、外业人员的生产外包人力成本</t>
  </si>
  <si>
    <t>丰图产品具备交付能力只是用了生产资源来执行交付。比如地址治理，地图生产，数据服务交付运营等</t>
  </si>
  <si>
    <t>差旅招待</t>
  </si>
  <si>
    <t>项目实施人员出差的长途交通费+补助+住宿费（酒店、租房、物业水电费）</t>
  </si>
  <si>
    <t>项目管理费</t>
  </si>
  <si>
    <t>项目经理自有人员人力成本</t>
  </si>
  <si>
    <t>差旅、市内交通</t>
  </si>
  <si>
    <t>关键里程碑、验收推动招待费用</t>
  </si>
  <si>
    <t>项目验收</t>
  </si>
  <si>
    <t>项目技术评审专家费等</t>
  </si>
  <si>
    <t>综合办公</t>
  </si>
  <si>
    <t>项目资料打印、资料邮寄、设备邮寄相关的快递费；项目实施需要采购的办公耗材，如插线板、路由器等；办公资产采购等</t>
  </si>
  <si>
    <t>1.快递费500元
2.打印费3000元
3.办公耗材1000元</t>
  </si>
  <si>
    <t>专业服务</t>
  </si>
  <si>
    <t>审计律师费用、顾问费用、其它咨询费用</t>
  </si>
  <si>
    <t>制表人：</t>
  </si>
  <si>
    <t>复核人：</t>
  </si>
  <si>
    <t>沈路</t>
  </si>
  <si>
    <r>
      <rPr>
        <color rgb="FF000000"/>
        <rFont val="微软雅黑"/>
        <sz val="11"/>
      </rPr>
      <t xml:space="preserve">填写说明：</t>
    </r>
    <r>
      <rPr>
        <color rgb="FFF5C400"/>
        <rFont val="微软雅黑"/>
        <sz val="11"/>
      </rPr>
      <t xml:space="preserve">标黄</t>
    </r>
    <r>
      <rPr>
        <color rgb="FF000000"/>
        <rFont val="微软雅黑"/>
        <sz val="11"/>
      </rPr>
      <t xml:space="preserve">的部分为需人工填写，白色区域有公式带出对应数值。</t>
    </r>
  </si>
  <si>
    <t>项目名称：2026年时空信息云平台数据更新服务项目</t>
  </si>
  <si>
    <t>合计值</t>
  </si>
  <si>
    <t>解决方案评估</t>
  </si>
  <si>
    <t>标品研发负责人评估</t>
  </si>
  <si>
    <t>1.0 实施阶段- 销售成本</t>
  </si>
  <si>
    <t>1.1  实施阶段- 交付人力成本</t>
  </si>
  <si>
    <t>① 项目经理：</t>
  </si>
  <si>
    <t>② 产品售前岗：</t>
  </si>
  <si>
    <t>③ 产 品 岗：</t>
  </si>
  <si>
    <t>④ 前 端 岗：</t>
  </si>
  <si>
    <t>⑤ 后 端 岗：</t>
  </si>
  <si>
    <t>⑥ 大数据开发岗：</t>
  </si>
  <si>
    <t>⑦ 交 付 岗：</t>
  </si>
  <si>
    <t>⑧ 架 构：</t>
  </si>
  <si>
    <t>⑨ 其他：测试、UI、实施中运维投入</t>
  </si>
  <si>
    <t>⑩ 生产外包-数据类：</t>
  </si>
  <si>
    <t>⑪ 生产外包-软件类：</t>
  </si>
  <si>
    <t>1.2 实施阶段- 交付差旅招待</t>
  </si>
  <si>
    <r>
      <rPr>
        <color rgb="FFC00000"/>
        <rFont val="Microsoft YaHei"/>
        <sz val="10"/>
      </rPr>
      <t xml:space="preserve">★工作量评估负责人</t>
    </r>
    <r>
      <rPr>
        <color rgb="FFC00000"/>
        <rFont val="Microsoft YaHei"/>
        <sz val="10"/>
      </rPr>
      <t xml:space="preserve">
（可补充说明成本评估备注）</t>
    </r>
  </si>
  <si>
    <t>2.0 运维阶段- 销售成本</t>
  </si>
  <si>
    <t>2.1 运维阶段-人力成本：</t>
  </si>
  <si>
    <t>① 项 目 经 理：</t>
  </si>
  <si>
    <t>② 产 研 投 入：</t>
  </si>
  <si>
    <t>③ 生产外包-数据类：</t>
  </si>
  <si>
    <t>④ 生产外包-软件类：</t>
  </si>
  <si>
    <t>2.2 运维阶段-差旅成本</t>
  </si>
  <si>
    <t>按岗位人员投入人数说明</t>
  </si>
  <si>
    <t>标品</t>
  </si>
  <si>
    <t>建设内容</t>
  </si>
  <si>
    <r>
      <rPr>
        <color rgb="FF000000"/>
        <rFont val="Microsoft YaHei"/>
        <sz val="9"/>
      </rPr>
      <t xml:space="preserve">对应标准产品名称</t>
    </r>
    <r>
      <rPr>
        <color rgb="FF000000"/>
        <rFont val="Microsoft YaHei"/>
        <sz val="9"/>
      </rPr>
      <t xml:space="preserve">
（下拉选择）</t>
    </r>
  </si>
  <si>
    <t>建设内容-细分模块</t>
  </si>
  <si>
    <t>具体功能项</t>
  </si>
  <si>
    <t>功能描述</t>
  </si>
  <si>
    <t>最终交付物</t>
  </si>
  <si>
    <t>交付方式</t>
  </si>
  <si>
    <t>是否标品交付</t>
  </si>
  <si>
    <t>销售-人力成本</t>
  </si>
  <si>
    <t>销售-差旅</t>
  </si>
  <si>
    <t>销售-招待费</t>
  </si>
  <si>
    <t>销售-市场营销</t>
  </si>
  <si>
    <r>
      <rPr>
        <color rgb="FF000000"/>
        <rFont val="Microsoft YaHei"/>
        <sz val="9"/>
      </rPr>
      <t xml:space="preserve">实施阶段-</t>
    </r>
    <r>
      <rPr>
        <color rgb="FF000000"/>
        <rFont val="Microsoft YaHei"/>
        <sz val="9"/>
      </rPr>
      <t xml:space="preserve">
人力成本总额</t>
    </r>
  </si>
  <si>
    <r>
      <rPr>
        <color rgb="FF000000"/>
        <rFont val="Microsoft YaHei"/>
        <sz val="9"/>
      </rPr>
      <t xml:space="preserve">① 实施阶段-</t>
    </r>
    <r>
      <rPr>
        <color rgb="FF000000"/>
        <rFont val="Microsoft YaHei"/>
        <sz val="9"/>
      </rPr>
      <t xml:space="preserve">
人力成本总额</t>
    </r>
    <r>
      <rPr>
        <color rgb="FF000000"/>
        <rFont val="Microsoft YaHei"/>
        <sz val="9"/>
      </rPr>
      <t xml:space="preserve">
（项目经理）</t>
    </r>
  </si>
  <si>
    <r>
      <rPr>
        <color rgb="FF000000"/>
        <rFont val="Microsoft YaHei"/>
        <sz val="9"/>
      </rPr>
      <t xml:space="preserve">② 实施阶段-</t>
    </r>
    <r>
      <rPr>
        <color rgb="FF000000"/>
        <rFont val="Microsoft YaHei"/>
        <sz val="9"/>
      </rPr>
      <t xml:space="preserve">
人力成本总额</t>
    </r>
    <r>
      <rPr>
        <color rgb="FF000000"/>
        <rFont val="Microsoft YaHei"/>
        <sz val="9"/>
      </rPr>
      <t xml:space="preserve">
（产研正编）</t>
    </r>
  </si>
  <si>
    <r>
      <rPr>
        <color rgb="FF000000"/>
        <rFont val="Microsoft YaHei"/>
        <sz val="9"/>
      </rPr>
      <t xml:space="preserve">③ 实施阶段-</t>
    </r>
    <r>
      <rPr>
        <color rgb="FF000000"/>
        <rFont val="Microsoft YaHei"/>
        <sz val="9"/>
      </rPr>
      <t xml:space="preserve">
人力成本总额</t>
    </r>
    <r>
      <rPr>
        <color rgb="FF000000"/>
        <rFont val="Microsoft YaHei"/>
        <sz val="9"/>
      </rPr>
      <t xml:space="preserve">
（产研外包）</t>
    </r>
  </si>
  <si>
    <r>
      <rPr>
        <color rgb="FF000000"/>
        <rFont val="Microsoft YaHei"/>
        <sz val="9"/>
      </rPr>
      <t xml:space="preserve">④ 实施阶段-</t>
    </r>
    <r>
      <rPr>
        <color rgb="FF000000"/>
        <rFont val="Microsoft YaHei"/>
        <sz val="9"/>
      </rPr>
      <t xml:space="preserve">
人力成本总额</t>
    </r>
    <r>
      <rPr>
        <color rgb="FF000000"/>
        <rFont val="Microsoft YaHei"/>
        <sz val="9"/>
      </rPr>
      <t xml:space="preserve">
（生产外包）</t>
    </r>
  </si>
  <si>
    <r>
      <rPr>
        <color rgb="FF000000"/>
        <rFont val="Microsoft YaHei"/>
        <sz val="9"/>
      </rPr>
      <t xml:space="preserve">实施阶段-</t>
    </r>
    <r>
      <rPr>
        <color rgb="FF000000"/>
        <rFont val="Microsoft YaHei"/>
        <sz val="9"/>
      </rPr>
      <t xml:space="preserve">
人天汇总</t>
    </r>
    <r>
      <rPr>
        <color rgb="FF000000"/>
        <rFont val="Microsoft YaHei"/>
        <sz val="9"/>
      </rPr>
      <t xml:space="preserve">
（项目经理）</t>
    </r>
  </si>
  <si>
    <r>
      <rPr>
        <color rgb="FF000000"/>
        <rFont val="Microsoft YaHei"/>
        <sz val="9"/>
      </rPr>
      <t xml:space="preserve">实施阶段-</t>
    </r>
    <r>
      <rPr>
        <color rgb="FF000000"/>
        <rFont val="Microsoft YaHei"/>
        <sz val="9"/>
      </rPr>
      <t xml:space="preserve">
人天汇总</t>
    </r>
    <r>
      <rPr>
        <color rgb="FF000000"/>
        <rFont val="Microsoft YaHei"/>
        <sz val="9"/>
      </rPr>
      <t xml:space="preserve">
（产研正编）</t>
    </r>
  </si>
  <si>
    <r>
      <rPr>
        <color rgb="FF000000"/>
        <rFont val="Microsoft YaHei"/>
        <sz val="9"/>
      </rPr>
      <t xml:space="preserve">实施阶段-</t>
    </r>
    <r>
      <rPr>
        <color rgb="FF000000"/>
        <rFont val="Microsoft YaHei"/>
        <sz val="9"/>
      </rPr>
      <t xml:space="preserve">
人天汇总</t>
    </r>
    <r>
      <rPr>
        <color rgb="FF000000"/>
        <rFont val="Microsoft YaHei"/>
        <sz val="9"/>
      </rPr>
      <t xml:space="preserve">
（产研外包）</t>
    </r>
  </si>
  <si>
    <r>
      <rPr>
        <color rgb="FF000000"/>
        <rFont val="Microsoft YaHei"/>
        <sz val="9"/>
      </rPr>
      <t xml:space="preserve">实施阶段-</t>
    </r>
    <r>
      <rPr>
        <color rgb="FF000000"/>
        <rFont val="Microsoft YaHei"/>
        <sz val="9"/>
      </rPr>
      <t xml:space="preserve">
人天汇总</t>
    </r>
    <r>
      <rPr>
        <color rgb="FF000000"/>
        <rFont val="Microsoft YaHei"/>
        <sz val="9"/>
      </rPr>
      <t xml:space="preserve">
（生产外包）</t>
    </r>
  </si>
  <si>
    <r>
      <rPr>
        <color rgb="FF000000"/>
        <rFont val="Microsoft YaHei"/>
        <sz val="9"/>
      </rPr>
      <t xml:space="preserve">项目经理</t>
    </r>
    <r>
      <rPr>
        <color rgb="FF000000"/>
        <rFont val="Microsoft YaHei"/>
        <sz val="9"/>
      </rPr>
      <t xml:space="preserve">
正编人天</t>
    </r>
  </si>
  <si>
    <r>
      <rPr>
        <color rgb="FF000000"/>
        <rFont val="Microsoft YaHei"/>
        <sz val="9"/>
      </rPr>
      <t xml:space="preserve">项目经理</t>
    </r>
    <r>
      <rPr>
        <color rgb="FF000000"/>
        <rFont val="Microsoft YaHei"/>
        <sz val="9"/>
      </rPr>
      <t xml:space="preserve">
正编金额</t>
    </r>
  </si>
  <si>
    <r>
      <rPr>
        <color rgb="FF000000"/>
        <rFont val="Microsoft YaHei"/>
        <sz val="9"/>
      </rPr>
      <t xml:space="preserve">产品售前</t>
    </r>
    <r>
      <rPr>
        <color rgb="FF000000"/>
        <rFont val="Microsoft YaHei"/>
        <sz val="9"/>
      </rPr>
      <t xml:space="preserve">
正编人天</t>
    </r>
  </si>
  <si>
    <r>
      <rPr>
        <color rgb="FF000000"/>
        <rFont val="Microsoft YaHei"/>
        <sz val="9"/>
      </rPr>
      <t xml:space="preserve">产品售前</t>
    </r>
    <r>
      <rPr>
        <color rgb="FF000000"/>
        <rFont val="Microsoft YaHei"/>
        <sz val="9"/>
      </rPr>
      <t xml:space="preserve">
外包人天</t>
    </r>
  </si>
  <si>
    <r>
      <rPr>
        <color rgb="FF000000"/>
        <rFont val="Microsoft YaHei"/>
        <sz val="9"/>
      </rPr>
      <t xml:space="preserve">产品售前</t>
    </r>
    <r>
      <rPr>
        <color rgb="FF000000"/>
        <rFont val="Microsoft YaHei"/>
        <sz val="9"/>
      </rPr>
      <t xml:space="preserve">
正编金额</t>
    </r>
  </si>
  <si>
    <r>
      <rPr>
        <color rgb="FF000000"/>
        <rFont val="Microsoft YaHei"/>
        <sz val="9"/>
      </rPr>
      <t xml:space="preserve">产品售前</t>
    </r>
    <r>
      <rPr>
        <color rgb="FF000000"/>
        <rFont val="Microsoft YaHei"/>
        <sz val="9"/>
      </rPr>
      <t xml:space="preserve">
外包金额</t>
    </r>
  </si>
  <si>
    <r>
      <rPr>
        <color rgb="FF000000"/>
        <rFont val="Microsoft YaHei"/>
        <sz val="9"/>
      </rPr>
      <t xml:space="preserve">产品</t>
    </r>
    <r>
      <rPr>
        <color rgb="FF000000"/>
        <rFont val="Microsoft YaHei"/>
        <sz val="9"/>
      </rPr>
      <t xml:space="preserve">
正编人天</t>
    </r>
  </si>
  <si>
    <r>
      <rPr>
        <color rgb="FF000000"/>
        <rFont val="Microsoft YaHei"/>
        <sz val="9"/>
      </rPr>
      <t xml:space="preserve">产品</t>
    </r>
    <r>
      <rPr>
        <color rgb="FF000000"/>
        <rFont val="Microsoft YaHei"/>
        <sz val="9"/>
      </rPr>
      <t xml:space="preserve">
外包人天</t>
    </r>
  </si>
  <si>
    <r>
      <rPr>
        <color rgb="FF000000"/>
        <rFont val="Microsoft YaHei"/>
        <sz val="9"/>
      </rPr>
      <t xml:space="preserve">产品</t>
    </r>
    <r>
      <rPr>
        <color rgb="FF000000"/>
        <rFont val="Microsoft YaHei"/>
        <sz val="9"/>
      </rPr>
      <t xml:space="preserve">
正编金额</t>
    </r>
  </si>
  <si>
    <r>
      <rPr>
        <color rgb="FF000000"/>
        <rFont val="Microsoft YaHei"/>
        <sz val="9"/>
      </rPr>
      <t xml:space="preserve">产品</t>
    </r>
    <r>
      <rPr>
        <color rgb="FF000000"/>
        <rFont val="Microsoft YaHei"/>
        <sz val="9"/>
      </rPr>
      <t xml:space="preserve">
外包金额</t>
    </r>
  </si>
  <si>
    <r>
      <rPr>
        <color rgb="FF000000"/>
        <rFont val="Microsoft YaHei"/>
        <sz val="9"/>
      </rPr>
      <t xml:space="preserve">前端</t>
    </r>
    <r>
      <rPr>
        <color rgb="FF000000"/>
        <rFont val="Microsoft YaHei"/>
        <sz val="9"/>
      </rPr>
      <t xml:space="preserve">
正编人天</t>
    </r>
  </si>
  <si>
    <r>
      <rPr>
        <color rgb="FF000000"/>
        <rFont val="Microsoft YaHei"/>
        <sz val="9"/>
      </rPr>
      <t xml:space="preserve">前端</t>
    </r>
    <r>
      <rPr>
        <color rgb="FF000000"/>
        <rFont val="Microsoft YaHei"/>
        <sz val="9"/>
      </rPr>
      <t xml:space="preserve">
外包人天</t>
    </r>
  </si>
  <si>
    <r>
      <rPr>
        <color rgb="FF000000"/>
        <rFont val="Microsoft YaHei"/>
        <sz val="9"/>
      </rPr>
      <t xml:space="preserve">前端</t>
    </r>
    <r>
      <rPr>
        <color rgb="FF000000"/>
        <rFont val="Microsoft YaHei"/>
        <sz val="9"/>
      </rPr>
      <t xml:space="preserve">
正编金额</t>
    </r>
  </si>
  <si>
    <r>
      <rPr>
        <color rgb="FF000000"/>
        <rFont val="Microsoft YaHei"/>
        <sz val="9"/>
      </rPr>
      <t xml:space="preserve">前端</t>
    </r>
    <r>
      <rPr>
        <color rgb="FF000000"/>
        <rFont val="Microsoft YaHei"/>
        <sz val="9"/>
      </rPr>
      <t xml:space="preserve">
外包金额</t>
    </r>
  </si>
  <si>
    <r>
      <rPr>
        <color rgb="FF000000"/>
        <rFont val="Microsoft YaHei"/>
        <sz val="9"/>
      </rPr>
      <t xml:space="preserve">后端</t>
    </r>
    <r>
      <rPr>
        <color rgb="FF000000"/>
        <rFont val="Microsoft YaHei"/>
        <sz val="9"/>
      </rPr>
      <t xml:space="preserve">
正编人天</t>
    </r>
  </si>
  <si>
    <r>
      <rPr>
        <color rgb="FF000000"/>
        <rFont val="Microsoft YaHei"/>
        <sz val="9"/>
      </rPr>
      <t xml:space="preserve">后端</t>
    </r>
    <r>
      <rPr>
        <color rgb="FF000000"/>
        <rFont val="Microsoft YaHei"/>
        <sz val="9"/>
      </rPr>
      <t xml:space="preserve">
外包人天</t>
    </r>
  </si>
  <si>
    <r>
      <rPr>
        <color rgb="FF000000"/>
        <rFont val="Microsoft YaHei"/>
        <sz val="9"/>
      </rPr>
      <t xml:space="preserve">后端</t>
    </r>
    <r>
      <rPr>
        <color rgb="FF000000"/>
        <rFont val="Microsoft YaHei"/>
        <sz val="9"/>
      </rPr>
      <t xml:space="preserve">
正编金额</t>
    </r>
  </si>
  <si>
    <r>
      <rPr>
        <color rgb="FF000000"/>
        <rFont val="Microsoft YaHei"/>
        <sz val="9"/>
      </rPr>
      <t xml:space="preserve">后端</t>
    </r>
    <r>
      <rPr>
        <color rgb="FF000000"/>
        <rFont val="Microsoft YaHei"/>
        <sz val="9"/>
      </rPr>
      <t xml:space="preserve">
外包金额</t>
    </r>
  </si>
  <si>
    <r>
      <rPr>
        <color rgb="FF000000"/>
        <rFont val="Microsoft YaHei"/>
        <sz val="9"/>
      </rPr>
      <t xml:space="preserve">大数据开发</t>
    </r>
    <r>
      <rPr>
        <color rgb="FF000000"/>
        <rFont val="Microsoft YaHei"/>
        <sz val="9"/>
      </rPr>
      <t xml:space="preserve">
正编人天</t>
    </r>
  </si>
  <si>
    <r>
      <rPr>
        <color rgb="FF000000"/>
        <rFont val="Microsoft YaHei"/>
        <sz val="9"/>
      </rPr>
      <t xml:space="preserve">大数据开发</t>
    </r>
    <r>
      <rPr>
        <color rgb="FF000000"/>
        <rFont val="Microsoft YaHei"/>
        <sz val="9"/>
      </rPr>
      <t xml:space="preserve">
外包人天</t>
    </r>
  </si>
  <si>
    <r>
      <rPr>
        <color rgb="FF000000"/>
        <rFont val="Microsoft YaHei"/>
        <sz val="9"/>
      </rPr>
      <t xml:space="preserve">大数据开发</t>
    </r>
    <r>
      <rPr>
        <color rgb="FF000000"/>
        <rFont val="Microsoft YaHei"/>
        <sz val="9"/>
      </rPr>
      <t xml:space="preserve">
正编金额</t>
    </r>
  </si>
  <si>
    <r>
      <rPr>
        <color rgb="FF000000"/>
        <rFont val="Microsoft YaHei"/>
        <sz val="9"/>
      </rPr>
      <t xml:space="preserve">大数据开发</t>
    </r>
    <r>
      <rPr>
        <color rgb="FF000000"/>
        <rFont val="Microsoft YaHei"/>
        <sz val="9"/>
      </rPr>
      <t xml:space="preserve">
外包金额</t>
    </r>
  </si>
  <si>
    <r>
      <rPr>
        <color rgb="FF000000"/>
        <rFont val="Microsoft YaHei"/>
        <sz val="9"/>
      </rPr>
      <t xml:space="preserve">交付</t>
    </r>
    <r>
      <rPr>
        <color rgb="FF000000"/>
        <rFont val="Microsoft YaHei"/>
        <sz val="9"/>
      </rPr>
      <t xml:space="preserve">
正编人天</t>
    </r>
  </si>
  <si>
    <r>
      <rPr>
        <color rgb="FF000000"/>
        <rFont val="Microsoft YaHei"/>
        <sz val="9"/>
      </rPr>
      <t xml:space="preserve">交付</t>
    </r>
    <r>
      <rPr>
        <color rgb="FF000000"/>
        <rFont val="Microsoft YaHei"/>
        <sz val="9"/>
      </rPr>
      <t xml:space="preserve">
外包人天</t>
    </r>
  </si>
  <si>
    <r>
      <rPr>
        <color rgb="FF000000"/>
        <rFont val="Microsoft YaHei"/>
        <sz val="9"/>
      </rPr>
      <t xml:space="preserve">交付</t>
    </r>
    <r>
      <rPr>
        <color rgb="FF000000"/>
        <rFont val="Microsoft YaHei"/>
        <sz val="9"/>
      </rPr>
      <t xml:space="preserve">
正编金额</t>
    </r>
  </si>
  <si>
    <r>
      <rPr>
        <color rgb="FF000000"/>
        <rFont val="Microsoft YaHei"/>
        <sz val="9"/>
      </rPr>
      <t xml:space="preserve">交付</t>
    </r>
    <r>
      <rPr>
        <color rgb="FF000000"/>
        <rFont val="Microsoft YaHei"/>
        <sz val="9"/>
      </rPr>
      <t xml:space="preserve">
外包金额</t>
    </r>
  </si>
  <si>
    <r>
      <rPr>
        <color rgb="FF000000"/>
        <rFont val="Microsoft YaHei"/>
        <sz val="9"/>
      </rPr>
      <t xml:space="preserve">架构</t>
    </r>
    <r>
      <rPr>
        <color rgb="FF000000"/>
        <rFont val="Microsoft YaHei"/>
        <sz val="9"/>
      </rPr>
      <t xml:space="preserve">
正编人天</t>
    </r>
  </si>
  <si>
    <r>
      <rPr>
        <color rgb="FF000000"/>
        <rFont val="Microsoft YaHei"/>
        <sz val="9"/>
      </rPr>
      <t xml:space="preserve">架构</t>
    </r>
    <r>
      <rPr>
        <color rgb="FF000000"/>
        <rFont val="Microsoft YaHei"/>
        <sz val="9"/>
      </rPr>
      <t xml:space="preserve">
正编金额</t>
    </r>
  </si>
  <si>
    <r>
      <rPr>
        <color rgb="FF000000"/>
        <rFont val="Microsoft YaHei"/>
        <sz val="9"/>
      </rPr>
      <t xml:space="preserve">其他</t>
    </r>
    <r>
      <rPr>
        <color rgb="FF000000"/>
        <rFont val="Microsoft YaHei"/>
        <sz val="9"/>
      </rPr>
      <t xml:space="preserve">
正编人天</t>
    </r>
  </si>
  <si>
    <r>
      <rPr>
        <color rgb="FF000000"/>
        <rFont val="Microsoft YaHei"/>
        <sz val="9"/>
      </rPr>
      <t xml:space="preserve">其他</t>
    </r>
    <r>
      <rPr>
        <color rgb="FF000000"/>
        <rFont val="Microsoft YaHei"/>
        <sz val="9"/>
      </rPr>
      <t xml:space="preserve">
外包人天</t>
    </r>
  </si>
  <si>
    <r>
      <rPr>
        <color rgb="FF000000"/>
        <rFont val="Microsoft YaHei"/>
        <sz val="9"/>
      </rPr>
      <t xml:space="preserve">其他</t>
    </r>
    <r>
      <rPr>
        <color rgb="FF000000"/>
        <rFont val="Microsoft YaHei"/>
        <sz val="9"/>
      </rPr>
      <t xml:space="preserve">
正编金额</t>
    </r>
  </si>
  <si>
    <r>
      <rPr>
        <color rgb="FF000000"/>
        <rFont val="Microsoft YaHei"/>
        <sz val="9"/>
      </rPr>
      <t xml:space="preserve">其他</t>
    </r>
    <r>
      <rPr>
        <color rgb="FF000000"/>
        <rFont val="Microsoft YaHei"/>
        <sz val="9"/>
      </rPr>
      <t xml:space="preserve">
外包金额</t>
    </r>
  </si>
  <si>
    <r>
      <rPr>
        <color rgb="FF000000"/>
        <rFont val="Microsoft YaHei"/>
        <sz val="9"/>
      </rPr>
      <t xml:space="preserve">生产外包</t>
    </r>
    <r>
      <rPr>
        <color rgb="FF000000"/>
        <rFont val="Microsoft YaHei"/>
        <sz val="9"/>
      </rPr>
      <t xml:space="preserve">
人天</t>
    </r>
  </si>
  <si>
    <r>
      <rPr>
        <color rgb="FF000000"/>
        <rFont val="Microsoft YaHei"/>
        <sz val="9"/>
      </rPr>
      <t xml:space="preserve">生产外包</t>
    </r>
    <r>
      <rPr>
        <color rgb="FF000000"/>
        <rFont val="Microsoft YaHei"/>
        <sz val="9"/>
      </rPr>
      <t xml:space="preserve">
金额</t>
    </r>
  </si>
  <si>
    <r>
      <rPr>
        <color rgb="FF000000"/>
        <rFont val="Microsoft YaHei"/>
        <sz val="9"/>
      </rPr>
      <t xml:space="preserve">实施阶段-</t>
    </r>
    <r>
      <rPr>
        <color rgb="FF000000"/>
        <rFont val="Microsoft YaHei"/>
        <sz val="9"/>
      </rPr>
      <t xml:space="preserve">
差旅成本总额</t>
    </r>
  </si>
  <si>
    <r>
      <rPr>
        <color rgb="FF000000"/>
        <rFont val="Microsoft YaHei"/>
        <sz val="9"/>
      </rPr>
      <t xml:space="preserve">实施阶段-差旅成本</t>
    </r>
    <r>
      <rPr>
        <color rgb="FF000000"/>
        <rFont val="Microsoft YaHei"/>
        <sz val="9"/>
      </rPr>
      <t xml:space="preserve">
项目经理-差旅、市内交通</t>
    </r>
  </si>
  <si>
    <r>
      <rPr>
        <color rgb="FF000000"/>
        <rFont val="Microsoft YaHei"/>
        <sz val="9"/>
      </rPr>
      <t xml:space="preserve">实施阶段-差旅成本</t>
    </r>
    <r>
      <rPr>
        <color rgb="FF000000"/>
        <rFont val="Microsoft YaHei"/>
        <sz val="9"/>
      </rPr>
      <t xml:space="preserve">
项目经理-招待费</t>
    </r>
  </si>
  <si>
    <r>
      <rPr>
        <color rgb="FF000000"/>
        <rFont val="Microsoft YaHei"/>
        <sz val="9"/>
      </rPr>
      <t xml:space="preserve">实施阶段-差旅成本</t>
    </r>
    <r>
      <rPr>
        <color rgb="FF000000"/>
        <rFont val="Microsoft YaHei"/>
        <sz val="9"/>
      </rPr>
      <t xml:space="preserve">
产研（正编+外包）</t>
    </r>
  </si>
  <si>
    <r>
      <rPr>
        <color rgb="FF000000"/>
        <rFont val="Microsoft YaHei"/>
        <sz val="9"/>
      </rPr>
      <t xml:space="preserve">实施阶段-差旅成本</t>
    </r>
    <r>
      <rPr>
        <color rgb="FF000000"/>
        <rFont val="Microsoft YaHei"/>
        <sz val="9"/>
      </rPr>
      <t xml:space="preserve">
生产外包（数据类）</t>
    </r>
  </si>
  <si>
    <r>
      <rPr>
        <color rgb="FF000000"/>
        <rFont val="Microsoft YaHei"/>
        <sz val="9"/>
      </rPr>
      <t xml:space="preserve">实施阶段-差旅成本</t>
    </r>
    <r>
      <rPr>
        <color rgb="FF000000"/>
        <rFont val="Microsoft YaHei"/>
        <sz val="9"/>
      </rPr>
      <t xml:space="preserve">
生产外包（软件类）</t>
    </r>
  </si>
  <si>
    <r>
      <rPr>
        <color rgb="FF000000"/>
        <rFont val="Microsoft YaHei"/>
        <sz val="9"/>
      </rPr>
      <t xml:space="preserve">运维阶段-</t>
    </r>
    <r>
      <rPr>
        <color rgb="FF000000"/>
        <rFont val="Microsoft YaHei"/>
        <sz val="9"/>
      </rPr>
      <t xml:space="preserve">
人力成本总额</t>
    </r>
  </si>
  <si>
    <r>
      <rPr>
        <color rgb="FF000000"/>
        <rFont val="Microsoft YaHei"/>
        <sz val="9"/>
      </rPr>
      <t xml:space="preserve">产研</t>
    </r>
    <r>
      <rPr>
        <color rgb="FF000000"/>
        <rFont val="Microsoft YaHei"/>
        <sz val="9"/>
      </rPr>
      <t xml:space="preserve">
正编人天</t>
    </r>
  </si>
  <si>
    <r>
      <rPr>
        <color rgb="FF000000"/>
        <rFont val="Microsoft YaHei"/>
        <sz val="9"/>
      </rPr>
      <t xml:space="preserve">产研</t>
    </r>
    <r>
      <rPr>
        <color rgb="FF000000"/>
        <rFont val="Microsoft YaHei"/>
        <sz val="9"/>
      </rPr>
      <t xml:space="preserve">
外包人天</t>
    </r>
  </si>
  <si>
    <r>
      <rPr>
        <color rgb="FF000000"/>
        <rFont val="Microsoft YaHei"/>
        <sz val="9"/>
      </rPr>
      <t xml:space="preserve">产研</t>
    </r>
    <r>
      <rPr>
        <color rgb="FF000000"/>
        <rFont val="Microsoft YaHei"/>
        <sz val="9"/>
      </rPr>
      <t xml:space="preserve">
正编金额</t>
    </r>
  </si>
  <si>
    <r>
      <rPr>
        <color rgb="FF000000"/>
        <rFont val="Microsoft YaHei"/>
        <sz val="9"/>
      </rPr>
      <t xml:space="preserve">产研</t>
    </r>
    <r>
      <rPr>
        <color rgb="FF000000"/>
        <rFont val="Microsoft YaHei"/>
        <sz val="9"/>
      </rPr>
      <t xml:space="preserve">
外包金额</t>
    </r>
  </si>
  <si>
    <r>
      <rPr>
        <color rgb="FF000000"/>
        <rFont val="Microsoft YaHei"/>
        <sz val="9"/>
      </rPr>
      <t xml:space="preserve">运维阶段-</t>
    </r>
    <r>
      <rPr>
        <color rgb="FF000000"/>
        <rFont val="Microsoft YaHei"/>
        <sz val="9"/>
      </rPr>
      <t xml:space="preserve">
差旅成本总额</t>
    </r>
  </si>
  <si>
    <r>
      <rPr>
        <color rgb="FF000000"/>
        <rFont val="Microsoft YaHei"/>
        <sz val="9"/>
      </rPr>
      <t xml:space="preserve">运维阶段-差旅成本</t>
    </r>
    <r>
      <rPr>
        <color rgb="FF000000"/>
        <rFont val="Microsoft YaHei"/>
        <sz val="9"/>
      </rPr>
      <t xml:space="preserve">
项目经理-差旅、市内交通</t>
    </r>
  </si>
  <si>
    <r>
      <rPr>
        <color rgb="FF000000"/>
        <rFont val="Microsoft YaHei"/>
        <sz val="9"/>
      </rPr>
      <t xml:space="preserve">运维阶段-差旅成本</t>
    </r>
    <r>
      <rPr>
        <color rgb="FF000000"/>
        <rFont val="Microsoft YaHei"/>
        <sz val="9"/>
      </rPr>
      <t xml:space="preserve">
项目经理-招待费</t>
    </r>
  </si>
  <si>
    <r>
      <rPr>
        <color rgb="FF000000"/>
        <rFont val="Microsoft YaHei"/>
        <sz val="9"/>
      </rPr>
      <t xml:space="preserve">运维阶段-差旅成本</t>
    </r>
    <r>
      <rPr>
        <color rgb="FF000000"/>
        <rFont val="Microsoft YaHei"/>
        <sz val="9"/>
      </rPr>
      <t xml:space="preserve">
产研（正编+外包）</t>
    </r>
  </si>
  <si>
    <r>
      <rPr>
        <color rgb="FF000000"/>
        <rFont val="Microsoft YaHei"/>
        <sz val="9"/>
      </rPr>
      <t xml:space="preserve">运维阶段-差旅成本</t>
    </r>
    <r>
      <rPr>
        <color rgb="FF000000"/>
        <rFont val="Microsoft YaHei"/>
        <sz val="9"/>
      </rPr>
      <t xml:space="preserve">
生产外包（数据类）</t>
    </r>
  </si>
  <si>
    <r>
      <rPr>
        <color rgb="FF000000"/>
        <rFont val="Microsoft YaHei"/>
        <sz val="9"/>
      </rPr>
      <t xml:space="preserve">运维阶段-差旅成本</t>
    </r>
    <r>
      <rPr>
        <color rgb="FF000000"/>
        <rFont val="Microsoft YaHei"/>
        <sz val="9"/>
      </rPr>
      <t xml:space="preserve">
生产外包（软件类）</t>
    </r>
  </si>
  <si>
    <t>人天</t>
  </si>
  <si>
    <t>金额</t>
  </si>
  <si>
    <t>标品成本评估-说明</t>
  </si>
  <si>
    <t>运维服务</t>
  </si>
  <si>
    <r>
      <rPr>
        <color rgb="FF000000"/>
        <rFont val="Microsoft YaHei"/>
        <sz val="10"/>
      </rPr>
      <t xml:space="preserve">岗位（正编/外包）：人数+对应投入人天</t>
    </r>
    <r>
      <rPr>
        <color rgb="FF000000"/>
        <rFont val="Microsoft YaHei"/>
        <sz val="10"/>
      </rPr>
      <t xml:space="preserve">
①产品岗：正编投入_人；外包投入_人
②前端岗：正编投入_人；外包投入_人
③后端岗：正编投入_人；外包投入_人
④大数据开发：正编投入_人；外包投入_人
⑤交付岗：正编投入_人
⑥架构岗：正编投入_人；外包投入_人
⑦其他：正编投入_人；外包投入_人
......</t>
    </r>
  </si>
  <si>
    <t>产品、研发：</t>
  </si>
  <si>
    <t>地名地址更新服务</t>
  </si>
  <si>
    <t>根据坪山区地名地址数据建设情况进行数据更新，服务期内更新1次</t>
  </si>
  <si>
    <t>1.融合治理后的标准地址数据（csv）
2.更新后的地址服务索引（geo、rgeo、大搜索引）</t>
  </si>
  <si>
    <t>地图错误修复</t>
  </si>
  <si>
    <t>追踪时空云平台和主流商业地图在坪山区内错误、过时的地图数据。</t>
  </si>
  <si>
    <t>主流地图问题纠错报告</t>
  </si>
  <si>
    <r>
      <rPr>
        <color rgb="FF000000"/>
        <rFont val="Microsoft YaHei"/>
        <sz val="10"/>
      </rPr>
      <t xml:space="preserve">填写说明：
1、</t>
    </r>
    <r>
      <rPr>
        <color rgb="FFDE3C36"/>
        <rFont val="Microsoft YaHei"/>
        <sz val="10"/>
      </rPr>
      <t xml:space="preserve">红色</t>
    </r>
    <r>
      <rPr>
        <color rgb="FF000000"/>
        <rFont val="Microsoft YaHei"/>
        <sz val="10"/>
      </rPr>
      <t xml:space="preserve">部分由解决方案填写，</t>
    </r>
    <r>
      <rPr>
        <color rgb="FF2972F4"/>
        <rFont val="Microsoft YaHei"/>
        <sz val="10"/>
      </rPr>
      <t xml:space="preserve">蓝色</t>
    </r>
    <r>
      <rPr>
        <color rgb="FF000000"/>
        <rFont val="Microsoft YaHei"/>
        <sz val="10"/>
      </rPr>
      <t xml:space="preserve">部分由项目经理填写，</t>
    </r>
    <r>
      <rPr>
        <color rgb="FFF5C400"/>
        <rFont val="Microsoft YaHei"/>
        <sz val="10"/>
      </rPr>
      <t xml:space="preserve">橙色</t>
    </r>
    <r>
      <rPr>
        <color rgb="FF000000"/>
        <rFont val="Microsoft YaHei"/>
        <sz val="10"/>
      </rPr>
      <t xml:space="preserve">部分由交付运营填写，</t>
    </r>
    <r>
      <rPr>
        <color rgb="FF319B62"/>
        <rFont val="Microsoft YaHei"/>
        <sz val="10"/>
      </rPr>
      <t xml:space="preserve">绿色</t>
    </r>
    <r>
      <rPr>
        <color rgb="FF000000"/>
        <rFont val="Microsoft YaHei"/>
        <sz val="10"/>
      </rPr>
      <t xml:space="preserve">部分由产研侧填写
2、总成本=项目经理成本（含差旅）+交付实施成本（含差旅）+标品成本
3、人天单价参考（执行时间：2026年1月1日起）（以下均不区分级别）：
① 自有人天-交付处：1696元/天
    自有人天-数据产品处：1720元/天
    自有人天-智能地图处：1752元/天
    自有人天-公共组件处：1374元/天
    自有人天-公共服务业务处：2204元/天
    自有人天-行业售前方案处：2350元/天
    自有人天-企业产品研发处：3001元/天
②研发外包人员-除企服以外：995元/天
    研发外包人员-企服：1022元/天
③生产外包人员（不区分级别）：320元/天</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</si>
</sst>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00_ ;_ * \-#,##0.00_ ;_ * &quot;-&quot;??_ ;_ @_ "/>
    <numFmt numFmtId="165" formatCode="0.0_ "/>
    <numFmt numFmtId="166" formatCode="#,##0.00_ "/>
    <numFmt numFmtId="167" formatCode="yyyy/m/d;@"/>
    <numFmt numFmtId="168" formatCode="_ * #,##0_ ;_ * \-#,##0_ ;_ * &quot;-&quot;_ ;_ @_ "/>
    <numFmt numFmtId="169" formatCode="0.0"/>
  </numFmts>
  <fonts count="6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9"/>
      <color rgb="FF000000"/>
      <name val="Microsoft YaHei"/>
    </font>
    <font>
      <sz val="10"/>
      <color rgb="FF000000"/>
      <name val="Microsoft YaHei"/>
    </font>
    <font>
      <sz val="11"/>
      <color rgb="FF000000"/>
      <name val="宋体"/>
    </font>
    <font>
      <b/>
      <sz val="10"/>
      <color rgb="FF000000"/>
      <name val="Microsoft YaHei"/>
    </font>
    <font>
      <b/>
      <sz val="10"/>
      <color rgb="FFFFFFFF"/>
      <name val="Microsoft YaHei"/>
    </font>
    <font>
      <b/>
      <sz val="12"/>
      <color rgb="FFFFFFFF"/>
      <name val="微软雅黑"/>
    </font>
    <font>
      <b/>
      <sz val="9"/>
      <color rgb="FF000000"/>
      <name val="Microsoft YaHei"/>
    </font>
    <font>
      <sz val="10"/>
      <color rgb="FF2972F4"/>
      <name val="Microsoft YaHei"/>
    </font>
    <font>
      <sz val="10"/>
      <color rgb="FFFF0000"/>
      <name val="Microsoft YaHei"/>
    </font>
    <font>
      <sz val="10"/>
      <color rgb="FF000000"/>
      <name val="宋体"/>
    </font>
    <font>
      <b/>
      <sz val="14"/>
      <color rgb="FF000000"/>
      <name val="Microsoft YaHei"/>
    </font>
    <font>
      <i/>
      <sz val="10"/>
      <color rgb="FF000000"/>
      <name val="Microsoft YaHei"/>
    </font>
    <font>
      <b/>
      <i/>
      <u/>
      <sz val="10"/>
      <color rgb="FF000000"/>
      <name val="Microsoft YaHei"/>
    </font>
    <font>
      <i/>
      <sz val="9"/>
      <color rgb="FF000000"/>
      <name val="Microsoft YaHei"/>
    </font>
    <font>
      <b/>
      <i/>
      <u/>
      <sz val="12"/>
      <color rgb="FF000000"/>
      <name val="Microsoft YaHei"/>
    </font>
    <font>
      <b/>
      <sz val="10"/>
      <color rgb="FFC00000"/>
      <name val="Microsoft YaHei"/>
    </font>
    <font>
      <sz val="11"/>
      <color rgb="FF000000"/>
      <name val="微软雅黑"/>
    </font>
    <font>
      <sz val="12"/>
      <color rgb="FF000000"/>
      <name val="微软雅黑"/>
    </font>
    <font>
      <b/>
      <sz val="11"/>
      <color rgb="FFFFFFFF"/>
      <name val="微软雅黑"/>
    </font>
    <font>
      <b/>
      <sz val="10"/>
      <color rgb="FFFFFFFF"/>
      <name val="微软雅黑"/>
    </font>
    <font>
      <sz val="10"/>
      <color rgb="FF2972F4"/>
      <name val="微软雅黑"/>
    </font>
    <font>
      <sz val="10"/>
      <color rgb="FF000000"/>
      <name val="微软雅黑"/>
    </font>
    <font>
      <b/>
      <sz val="10"/>
      <color rgb="FF000000"/>
      <name val="微软雅黑"/>
    </font>
    <font>
      <b/>
      <sz val="10"/>
      <color rgb="FFC00000"/>
      <name val="微软雅黑"/>
    </font>
    <font>
      <b/>
      <sz val="10"/>
      <color rgb="FF00B050"/>
      <name val="微软雅黑"/>
    </font>
    <font>
      <sz val="10"/>
      <color rgb="FF0070C0"/>
      <name val="微软雅黑"/>
    </font>
    <font>
      <sz val="10"/>
      <color rgb="FF939393"/>
      <name val="微软雅黑"/>
    </font>
    <font>
      <b/>
      <sz val="10"/>
      <color rgb="FFFF0000"/>
      <name val="微软雅黑"/>
    </font>
    <font>
      <b/>
      <sz val="16"/>
      <color rgb="FFFFFFFF"/>
      <name val="微软雅黑"/>
    </font>
    <font>
      <b/>
      <sz val="10"/>
      <color rgb="FF1F3864"/>
      <name val="微软雅黑"/>
    </font>
    <font>
      <sz val="8"/>
      <color rgb="FF000000"/>
      <name val="微软雅黑"/>
    </font>
    <font>
      <b/>
      <sz val="9"/>
      <color rgb="FFFFFFFF"/>
      <name val="微软雅黑"/>
    </font>
    <font>
      <b/>
      <sz val="8"/>
      <color rgb="FF2E5F8A"/>
      <name val="微软雅黑"/>
    </font>
    <font>
      <sz val="9"/>
      <color rgb="FF000000"/>
      <name val="微软雅黑"/>
    </font>
    <font>
      <b/>
      <sz val="9"/>
      <color rgb="FF000000"/>
      <name val="微软雅黑"/>
    </font>
    <font>
      <sz val="8"/>
      <color rgb="FF548235"/>
      <name val="微软雅黑"/>
    </font>
    <font>
      <sz val="8"/>
      <color rgb="FFBF8F00"/>
      <name val="微软雅黑"/>
    </font>
    <font>
      <sz val="8"/>
      <color rgb="FFC00000"/>
      <name val="微软雅黑"/>
    </font>
    <font>
      <sz val="8"/>
      <color rgb="FF666666"/>
      <name val="微软雅黑"/>
    </font>
    <font>
      <b/>
      <sz val="11"/>
      <color rgb="FF000000"/>
      <name val="宋体"/>
    </font>
    <font>
      <sz val="10"/>
      <color rgb="FF000000"/>
      <name val="微软雅黑"/>
    </font>
    <font>
      <sz val="10"/>
      <color rgb="FF000000"/>
      <name val="微软雅黑"/>
    </font>
    <font>
      <b/>
      <sz val="9"/>
      <color rgb="FFFFFFFF"/>
      <name val="微软雅黑"/>
    </font>
    <font>
      <b/>
      <sz val="9"/>
      <color rgb="FFFFFFFF"/>
      <name val="微软雅黑"/>
    </font>
    <font>
      <b/>
      <sz val="9"/>
      <color rgb="FFFFFFFF"/>
      <name val="微软雅黑"/>
    </font>
    <font>
      <b/>
      <sz val="9"/>
      <color rgb="FFFFFFFF"/>
      <name val="微软雅黑"/>
    </font>
    <font>
      <b/>
      <sz val="9"/>
      <color rgb="FFFFFFFF"/>
      <name val="微软雅黑"/>
    </font>
    <font>
      <b/>
      <sz val="9"/>
      <color rgb="FFFFFFFF"/>
      <name val="微软雅黑"/>
    </font>
    <font>
      <sz val="11"/>
      <color rgb="FF000000"/>
      <name val="宋体"/>
    </font>
    <font>
      <sz val="8"/>
      <color rgb="FF548235"/>
      <name val="微软雅黑"/>
    </font>
    <font>
      <sz val="8"/>
      <color rgb="FF548235"/>
      <name val="微软雅黑"/>
    </font>
    <font>
      <sz val="8"/>
      <color rgb="FFBF8F00"/>
      <name val="微软雅黑"/>
    </font>
    <font>
      <sz val="8"/>
      <color rgb="FFC00000"/>
      <name val="微软雅黑"/>
    </font>
    <font>
      <sz val="11"/>
      <color rgb="FF000000"/>
      <name val="宋体"/>
    </font>
    <font>
      <sz val="8"/>
      <color rgb="FF548235"/>
      <name val="微软雅黑"/>
    </font>
    <font>
      <sz val="8"/>
      <color rgb="FFBF8F00"/>
      <name val="微软雅黑"/>
    </font>
    <font>
      <sz val="8"/>
      <color rgb="FFC00000"/>
      <name val="微软雅黑"/>
    </font>
    <font>
      <sz val="11"/>
      <color rgb="FF000000"/>
      <name val="宋体"/>
    </font>
    <font>
      <sz val="8"/>
      <color rgb="FF548235"/>
      <name val="微软雅黑"/>
    </font>
    <font>
      <sz val="8"/>
      <color rgb="FFBF8F00"/>
      <name val="微软雅黑"/>
    </font>
    <font>
      <b/>
      <sz val="10"/>
      <color rgb="FF00B050"/>
      <name val="微软雅黑"/>
    </font>
    <font>
      <sz val="10"/>
      <color rgb="FF000000"/>
      <name val="微软雅黑"/>
    </font>
    <font>
      <sz val="10"/>
      <color rgb="FF000000"/>
      <name val="微软雅黑"/>
    </font>
    <font>
      <sz val="10"/>
      <color rgb="FFFF0000"/>
      <name val="Microsoft YaHei"/>
    </font>
  </fonts>
  <fills count="28">
    <fill>
      <patternFill patternType="none"/>
    </fill>
    <fill>
      <patternFill patternType="gray125"/>
    </fill>
    <fill>
      <patternFill patternType="solid">
        <fgColor rgb="FFFFFFFF"/>
      </patternFill>
    </fill>
    <fill>
      <patternFill patternType="solid">
        <fgColor rgb="FF485368"/>
      </patternFill>
    </fill>
    <fill>
      <patternFill patternType="solid">
        <fgColor rgb="FF2972F4"/>
      </patternFill>
    </fill>
    <fill>
      <patternFill patternType="solid">
        <fgColor rgb="FFFFC9C7"/>
      </patternFill>
    </fill>
    <fill>
      <patternFill patternType="solid">
        <fgColor rgb="FFF2C7FF"/>
      </patternFill>
    </fill>
    <fill>
      <patternFill patternType="solid">
        <fgColor rgb="FFFFEEAD"/>
      </patternFill>
    </fill>
    <fill>
      <patternFill patternType="solid">
        <fgColor rgb="FFFDEBFF"/>
      </patternFill>
    </fill>
    <fill>
      <patternFill patternType="solid">
        <fgColor rgb="FFFFE9E8"/>
      </patternFill>
    </fill>
    <fill>
      <patternFill patternType="solid">
        <fgColor rgb="FFEAFAF1"/>
      </patternFill>
    </fill>
    <fill>
      <patternFill patternType="solid">
        <fgColor rgb="FFE5EFFF"/>
      </patternFill>
    </fill>
    <fill>
      <patternFill patternType="solid">
        <fgColor rgb="FFF3F5F7"/>
      </patternFill>
    </fill>
    <fill>
      <patternFill patternType="solid">
        <fgColor rgb="FFFFF3EB"/>
      </patternFill>
    </fill>
    <fill>
      <patternFill patternType="solid">
        <fgColor rgb="FFF2F2F2"/>
      </patternFill>
    </fill>
    <fill>
      <patternFill patternType="solid">
        <fgColor rgb="FFC3EAD5"/>
      </patternFill>
    </fill>
    <fill>
      <patternFill patternType="solid">
        <fgColor rgb="FFE5F6FF"/>
      </patternFill>
    </fill>
    <fill>
      <patternFill patternType="solid">
        <fgColor rgb="FF31859B"/>
      </patternFill>
    </fill>
    <fill>
      <patternFill patternType="solid">
        <fgColor rgb="FFFFF9E3"/>
      </patternFill>
    </fill>
    <fill>
      <patternFill patternType="solid">
        <fgColor rgb="FFE5E0EC"/>
      </patternFill>
    </fill>
    <fill>
      <patternFill patternType="solid">
        <fgColor rgb="FFF2DBDB"/>
      </patternFill>
    </fill>
    <fill>
      <patternFill patternType="solid">
        <fgColor rgb="FF1F3864"/>
      </patternFill>
    </fill>
    <fill>
      <patternFill patternType="solid">
        <fgColor rgb="FF2E5F8A"/>
      </patternFill>
    </fill>
    <fill>
      <patternFill patternType="solid">
        <fgColor rgb="FFD6E4F0"/>
      </patternFill>
    </fill>
    <fill>
      <patternFill patternType="solid">
        <fgColor rgb="FFE2EFDA"/>
      </patternFill>
    </fill>
    <fill>
      <patternFill patternType="solid">
        <fgColor rgb="FFFFF2CC"/>
      </patternFill>
    </fill>
    <fill>
      <patternFill patternType="solid">
        <fgColor rgb="FFFCE4EC"/>
      </patternFill>
    </fill>
    <fill>
      <patternFill patternType="solid">
        <fgColor rgb="FFFCC102"/>
      </patternFill>
    </fill>
  </fills>
  <borders count="33">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FFFFFF"/>
      </left>
      <right style="thin">
        <color rgb="FFFFFFFF"/>
      </right>
      <top style="thin">
        <color rgb="FFFFFFFF"/>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medium">
        <color rgb="FF000000"/>
      </left>
      <right style="dotted">
        <color rgb="FF939393"/>
      </right>
      <top style="medium">
        <color rgb="FF000000"/>
      </top>
      <bottom style="dotted">
        <color rgb="FF939393"/>
      </bottom>
      <diagonal/>
    </border>
    <border>
      <left style="dotted">
        <color rgb="FF939393"/>
      </left>
      <right style="dotted">
        <color rgb="FF939393"/>
      </right>
      <top style="medium">
        <color rgb="FF000000"/>
      </top>
      <bottom style="dotted">
        <color rgb="FF939393"/>
      </bottom>
      <diagonal/>
    </border>
    <border>
      <left style="medium">
        <color rgb="FF000000"/>
      </left>
      <right style="dotted">
        <color rgb="FF939393"/>
      </right>
      <top style="dotted">
        <color rgb="FF939393"/>
      </top>
      <bottom style="dotted">
        <color rgb="FF939393"/>
      </bottom>
      <diagonal/>
    </border>
    <border>
      <left style="dotted">
        <color rgb="FF939393"/>
      </left>
      <right style="dotted">
        <color rgb="FF939393"/>
      </right>
      <top style="dotted">
        <color rgb="FF939393"/>
      </top>
      <bottom style="dotted">
        <color rgb="FF939393"/>
      </bottom>
      <diagonal/>
    </border>
    <border>
      <left style="dotted">
        <color rgb="FF939393"/>
      </left>
      <right/>
      <top style="dotted">
        <color rgb="FF939393"/>
      </top>
      <bottom style="dotted">
        <color rgb="FF939393"/>
      </bottom>
      <diagonal/>
    </border>
    <border>
      <left style="medium">
        <color rgb="FF000000"/>
      </left>
      <right style="dotted">
        <color rgb="FF939393"/>
      </right>
      <top style="dotted">
        <color rgb="FF939393"/>
      </top>
      <bottom/>
      <diagonal/>
    </border>
    <border>
      <left style="medium">
        <color rgb="FF000000"/>
      </left>
      <right style="dotted">
        <color rgb="FF939393"/>
      </right>
      <top/>
      <bottom/>
      <diagonal/>
    </border>
    <border>
      <left style="medium">
        <color rgb="FF000000"/>
      </left>
      <right style="dotted">
        <color rgb="FF939393"/>
      </right>
      <top/>
      <bottom style="dotted">
        <color rgb="FF939393"/>
      </bottom>
      <diagonal/>
    </border>
    <border>
      <left style="medium">
        <color rgb="FF000000"/>
      </left>
      <right style="dashed">
        <color rgb="FF7F7F7F"/>
      </right>
      <top/>
      <bottom style="medium">
        <color rgb="FF000000"/>
      </bottom>
      <diagonal/>
    </border>
    <border>
      <left style="dashed">
        <color rgb="FF7F7F7F"/>
      </left>
      <right/>
      <top/>
      <bottom style="medium">
        <color rgb="FF000000"/>
      </bottom>
      <diagonal/>
    </border>
    <border>
      <left/>
      <right/>
      <top/>
      <bottom style="medium">
        <color rgb="FF000000"/>
      </bottom>
      <diagonal/>
    </border>
    <border>
      <left/>
      <right style="dashed">
        <color rgb="FF7F7F7F"/>
      </right>
      <top/>
      <bottom style="medium">
        <color rgb="FF000000"/>
      </bottom>
      <diagonal/>
    </border>
    <border>
      <left style="medium">
        <color rgb="FF000000"/>
      </left>
      <right/>
      <top/>
      <bottom style="medium">
        <color rgb="FF000000"/>
      </bottom>
      <diagonal/>
    </border>
    <border>
      <left style="dotted">
        <color rgb="FF939393"/>
      </left>
      <right style="medium">
        <color rgb="FF000000"/>
      </right>
      <top style="medium">
        <color rgb="FF000000"/>
      </top>
      <bottom style="dotted">
        <color rgb="FF939393"/>
      </bottom>
      <diagonal/>
    </border>
    <border>
      <left style="dotted">
        <color rgb="FF939393"/>
      </left>
      <right style="medium">
        <color rgb="FF000000"/>
      </right>
      <top style="dotted">
        <color rgb="FF939393"/>
      </top>
      <bottom style="dotted">
        <color rgb="FF939393"/>
      </bottom>
      <diagonal/>
    </border>
    <border>
      <left/>
      <right style="medium">
        <color rgb="FF000000"/>
      </right>
      <top style="dotted">
        <color rgb="FF939393"/>
      </top>
      <bottom style="dotted">
        <color rgb="FF939393"/>
      </bottom>
      <diagonal/>
    </border>
    <border>
      <left/>
      <right style="medium">
        <color rgb="FF000000"/>
      </right>
      <top/>
      <bottom style="medium">
        <color rgb="FF000000"/>
      </bottom>
      <diagonal/>
    </border>
    <border>
      <left style="thin">
        <color rgb="FFB4B4B4"/>
      </left>
      <right style="thin">
        <color rgb="FFB4B4B4"/>
      </right>
      <top style="thin">
        <color rgb="FFB4B4B4"/>
      </top>
      <bottom style="thin">
        <color rgb="FFB4B4B4"/>
      </bottom>
      <diagonal/>
    </border>
    <border>
      <left style="thin">
        <color rgb="FF000000"/>
      </left>
      <right style="thin">
        <color rgb="FFB4B4B4"/>
      </right>
      <top style="thin">
        <color rgb="FFB4B4B4"/>
      </top>
      <bottom style="thin">
        <color rgb="FFB4B4B4"/>
      </bottom>
      <diagonal/>
    </border>
    <border>
      <left/>
      <right/>
      <top style="thin">
        <color rgb="FFB4B4B4"/>
      </top>
      <bottom style="thin">
        <color rgb="FFB4B4B4"/>
      </bottom>
      <diagonal/>
    </border>
    <border>
      <left style="thin">
        <color rgb="FFB4B4B4"/>
      </left>
      <right/>
      <top style="thin">
        <color rgb="FFB4B4B4"/>
      </top>
      <bottom style="thin">
        <color rgb="FFB4B4B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75">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center"/>
    </xf>
    <xf numFmtId="0" fontId="5" fillId="0" borderId="0" xfId="0" applyFont="1">
      <alignment horizontal="general" vertical="center"/>
    </xf>
    <xf numFmtId="0" fontId="5" fillId="0" borderId="0" xfId="0" applyFont="1">
      <alignment horizontal="center" vertical="center"/>
    </xf>
    <xf numFmtId="0" fontId="6" fillId="0" borderId="0" xfId="0" applyFont="1">
      <alignment horizontal="general" vertical="center"/>
    </xf>
    <xf numFmtId="0" fontId="7" fillId="2" borderId="0" xfId="0" applyFont="1" applyFill="1">
      <alignment horizontal="general" vertical="center"/>
    </xf>
    <xf numFmtId="0" fontId="7" fillId="2" borderId="0" xfId="0" applyFont="1" applyFill="1">
      <alignment horizontal="general" vertical="center"/>
    </xf>
    <xf numFmtId="0" fontId="8" fillId="3" borderId="1" xfId="0" applyFont="1" applyFill="1" applyBorder="1" applyProtection="1">
      <alignment horizontal="right" vertical="center"/>
    </xf>
    <xf numFmtId="0" fontId="6" fillId="0" borderId="1" xfId="0" applyFont="1" applyBorder="1" applyProtection="1">
      <alignment horizontal="general" vertical="center"/>
    </xf>
    <xf numFmtId="0" fontId="6" fillId="0" borderId="1" xfId="0" applyFont="1" applyBorder="1" applyProtection="1">
      <alignment horizontal="general" vertical="center"/>
    </xf>
    <xf numFmtId="3" fontId="9" fillId="4" borderId="1" xfId="0" applyNumberFormat="1" applyFont="1" applyFill="1" applyBorder="1" applyProtection="1">
      <alignment horizontal="right" vertical="center"/>
    </xf>
    <xf numFmtId="0" fontId="7" fillId="0" borderId="2" xfId="0" applyFont="1" applyBorder="1" applyProtection="1">
      <alignment horizontal="center" vertical="center"/>
    </xf>
    <xf numFmtId="0" fontId="7" fillId="5" borderId="2" xfId="0" applyFont="1" applyFill="1" applyBorder="1" applyProtection="1">
      <alignment horizontal="center" vertical="center"/>
    </xf>
    <xf numFmtId="0" fontId="6" fillId="0" borderId="2" xfId="0" applyFont="1" applyBorder="1" applyProtection="1">
      <alignment horizontal="general" vertical="center"/>
    </xf>
    <xf numFmtId="0" fontId="6" fillId="0" borderId="2" xfId="0" applyFont="1" applyBorder="1" applyProtection="1">
      <alignment horizontal="general" vertical="center"/>
    </xf>
    <xf numFmtId="0" fontId="6" fillId="0" borderId="3" xfId="0" applyFont="1" applyBorder="1" applyProtection="1">
      <alignment horizontal="general" vertical="center"/>
    </xf>
    <xf numFmtId="49" fontId="10" fillId="5" borderId="3" xfId="0" applyNumberFormat="1" applyFont="1" applyFill="1" applyBorder="1" applyProtection="1">
      <alignment horizontal="center" vertical="center" wrapText="1"/>
    </xf>
    <xf numFmtId="0" fontId="10" fillId="5" borderId="3" xfId="0" applyFont="1" applyFill="1" applyBorder="1" applyProtection="1">
      <alignment horizontal="center" vertical="center" wrapText="1"/>
    </xf>
    <xf numFmtId="0" fontId="10" fillId="5" borderId="3" xfId="0" applyFont="1" applyFill="1" applyBorder="1" applyProtection="1">
      <alignment horizontal="center" vertical="center"/>
    </xf>
    <xf numFmtId="0" fontId="11" fillId="0" borderId="3" xfId="0" applyFont="1" applyBorder="1" applyProtection="1">
      <alignment horizontal="center" vertical="center"/>
    </xf>
    <xf numFmtId="49" fontId="12" fillId="0" borderId="3" xfId="0" applyNumberFormat="1" applyFont="1" applyBorder="1" applyProtection="1">
      <alignment horizontal="center" vertical="center" wrapText="1"/>
    </xf>
    <xf numFmtId="0" fontId="5" fillId="0" borderId="3" xfId="0" applyFont="1" applyBorder="1" applyProtection="1">
      <alignment horizontal="general" vertical="center"/>
    </xf>
    <xf numFmtId="0" fontId="12" fillId="0" borderId="3" xfId="0" applyFont="1" applyBorder="1" applyProtection="1">
      <alignment horizontal="left" vertical="center"/>
    </xf>
    <xf numFmtId="0" fontId="12" fillId="0" borderId="3" xfId="0" applyFont="1" applyBorder="1" applyProtection="1">
      <alignment horizontal="left" vertical="center" wrapText="1"/>
    </xf>
    <xf numFmtId="0" fontId="12" fillId="0" borderId="3" xfId="0" applyFont="1" applyBorder="1" applyProtection="1">
      <alignment horizontal="center" vertical="center"/>
    </xf>
    <xf numFmtId="49" fontId="12" fillId="0" borderId="3" xfId="0" applyNumberFormat="1" applyFont="1" applyBorder="1" applyProtection="1">
      <alignment horizontal="center" vertical="center"/>
    </xf>
    <xf numFmtId="0" fontId="12" fillId="0" borderId="3" xfId="0" applyFont="1" applyBorder="1" applyProtection="1">
      <alignment horizontal="left" vertical="center"/>
    </xf>
    <xf numFmtId="49" fontId="12" fillId="0" borderId="3" xfId="0" applyNumberFormat="1" applyFont="1" applyBorder="1" applyProtection="1">
      <alignment horizontal="general" vertical="bottom"/>
    </xf>
    <xf numFmtId="0" fontId="12" fillId="0" borderId="3" xfId="0" applyFont="1" applyBorder="1" applyProtection="1">
      <alignment horizontal="general" vertical="center" wrapText="1"/>
    </xf>
    <xf numFmtId="0" fontId="5" fillId="0" borderId="0" xfId="0" applyFont="1">
      <alignment horizontal="general" vertical="bottom"/>
    </xf>
    <xf numFmtId="0" fontId="13" fillId="0" borderId="0" xfId="0" applyFont="1">
      <alignment horizontal="general" vertical="bottom"/>
    </xf>
    <xf numFmtId="0" fontId="5" fillId="0" borderId="3" xfId="0" applyFont="1" applyBorder="1" applyProtection="1">
      <alignment horizontal="general" vertical="top" wrapText="1"/>
    </xf>
    <xf numFmtId="0" fontId="13" fillId="0" borderId="0" xfId="0" applyFont="1">
      <alignment horizontal="general" vertical="center"/>
    </xf>
    <xf numFmtId="0" fontId="7" fillId="2" borderId="0" xfId="0" applyFont="1" applyFill="1">
      <alignment horizontal="general" vertical="center" wrapText="1"/>
    </xf>
    <xf numFmtId="0" fontId="5" fillId="0" borderId="0" xfId="0" applyFont="1">
      <alignment horizontal="center" vertical="center"/>
    </xf>
    <xf numFmtId="0" fontId="8" fillId="3" borderId="1" xfId="0" applyFont="1" applyFill="1" applyBorder="1" applyProtection="1">
      <alignment horizontal="center" vertical="center" wrapText="1"/>
    </xf>
    <xf numFmtId="164" fontId="8" fillId="3" borderId="1" xfId="0" applyNumberFormat="1" applyFont="1" applyFill="1" applyBorder="1" applyProtection="1">
      <alignment horizontal="center" vertical="center" wrapText="1"/>
    </xf>
    <xf numFmtId="0" fontId="7" fillId="6" borderId="2" xfId="0" applyFont="1" applyFill="1" applyBorder="1" applyProtection="1">
      <alignment horizontal="center" vertical="center" wrapText="1"/>
    </xf>
    <xf numFmtId="0" fontId="7" fillId="7" borderId="4" xfId="0" applyFont="1" applyFill="1" applyBorder="1" applyProtection="1">
      <alignment horizontal="left" vertical="center" wrapText="1"/>
    </xf>
    <xf numFmtId="0" fontId="14" fillId="7" borderId="5" xfId="0" applyFont="1" applyFill="1" applyBorder="1" applyProtection="1">
      <alignment horizontal="left" vertical="center" wrapText="1"/>
    </xf>
    <xf numFmtId="0" fontId="6" fillId="0" borderId="5" xfId="0" applyFont="1" applyBorder="1" applyProtection="1">
      <alignment horizontal="general" vertical="center"/>
    </xf>
    <xf numFmtId="0" fontId="10" fillId="6" borderId="3" xfId="0" applyFont="1" applyFill="1" applyBorder="1" applyProtection="1">
      <alignment horizontal="center" vertical="center" wrapText="1"/>
    </xf>
    <xf numFmtId="0" fontId="10" fillId="7" borderId="3" xfId="0" applyFont="1" applyFill="1" applyBorder="1" applyProtection="1">
      <alignment horizontal="center" vertical="center" wrapText="1"/>
    </xf>
    <xf numFmtId="0" fontId="10" fillId="7" borderId="3" xfId="0" applyFont="1" applyFill="1" applyBorder="1" applyProtection="1">
      <alignment horizontal="center" vertical="center" wrapText="1"/>
    </xf>
    <xf numFmtId="164" fontId="5" fillId="0" borderId="3" xfId="0" applyNumberFormat="1" applyFont="1" applyBorder="1" applyProtection="1">
      <alignment horizontal="center" vertical="center"/>
    </xf>
    <xf numFmtId="164" fontId="11" fillId="0" borderId="3" xfId="0" applyNumberFormat="1" applyFont="1" applyBorder="1" applyProtection="1">
      <alignment horizontal="center" vertical="center"/>
    </xf>
    <xf numFmtId="0" fontId="11" fillId="0" borderId="3" xfId="0" applyFont="1" applyBorder="1" applyProtection="1">
      <alignment horizontal="general" vertical="bottom"/>
    </xf>
    <xf numFmtId="0" fontId="5" fillId="0" borderId="0" xfId="0" applyFont="1">
      <alignment horizontal="center" vertical="center"/>
    </xf>
    <xf numFmtId="0" fontId="15" fillId="0" borderId="0" xfId="0" applyFont="1">
      <alignment horizontal="general" vertical="center"/>
    </xf>
    <xf numFmtId="164" fontId="8" fillId="3" borderId="6" xfId="0" applyNumberFormat="1" applyFont="1" applyFill="1" applyBorder="1" applyProtection="1">
      <alignment horizontal="center" vertical="bottom" wrapText="1"/>
    </xf>
    <xf numFmtId="0" fontId="6" fillId="0" borderId="7" xfId="0" applyFont="1" applyBorder="1" applyProtection="1">
      <alignment horizontal="general" vertical="center"/>
    </xf>
    <xf numFmtId="0" fontId="16" fillId="7" borderId="3" xfId="0" applyFont="1" applyFill="1" applyBorder="1" applyProtection="1">
      <alignment horizontal="left" vertical="bottom" wrapText="1"/>
    </xf>
    <xf numFmtId="0" fontId="6" fillId="0" borderId="8" xfId="0" applyFont="1" applyBorder="1" applyProtection="1">
      <alignment horizontal="general" vertical="center"/>
    </xf>
    <xf numFmtId="0" fontId="17" fillId="7" borderId="2" xfId="0" applyFont="1" applyFill="1" applyBorder="1" applyProtection="1">
      <alignment horizontal="right" vertical="bottom" wrapText="1"/>
    </xf>
    <xf numFmtId="164" fontId="5" fillId="8" borderId="3" xfId="0" applyNumberFormat="1" applyFont="1" applyFill="1" applyBorder="1" applyProtection="1">
      <alignment horizontal="center" vertical="center"/>
    </xf>
    <xf numFmtId="0" fontId="15" fillId="0" borderId="0" xfId="0" applyFont="1">
      <alignment horizontal="general" vertical="top" wrapText="1"/>
    </xf>
    <xf numFmtId="164" fontId="8" fillId="3" borderId="1" xfId="0" applyNumberFormat="1" applyFont="1" applyFill="1" applyBorder="1" applyProtection="1">
      <alignment horizontal="center" vertical="bottom" wrapText="1"/>
    </xf>
    <xf numFmtId="0" fontId="16" fillId="7" borderId="2" xfId="0" applyFont="1" applyFill="1" applyBorder="1" applyProtection="1">
      <alignment horizontal="left" vertical="bottom" wrapText="1"/>
    </xf>
    <xf numFmtId="0" fontId="18" fillId="7" borderId="2" xfId="0" applyFont="1" applyFill="1" applyBorder="1" applyProtection="1">
      <alignment horizontal="left" vertical="bottom" wrapText="1"/>
    </xf>
    <xf numFmtId="0" fontId="17" fillId="7" borderId="3" xfId="0" applyFont="1" applyFill="1" applyBorder="1" applyProtection="1">
      <alignment horizontal="right" vertical="bottom" wrapText="1"/>
    </xf>
    <xf numFmtId="164" fontId="5" fillId="9" borderId="3" xfId="0" applyNumberFormat="1" applyFont="1" applyFill="1" applyBorder="1" applyProtection="1">
      <alignment horizontal="center" vertical="center"/>
    </xf>
    <xf numFmtId="164" fontId="5" fillId="10" borderId="3" xfId="0" applyNumberFormat="1" applyFont="1" applyFill="1" applyBorder="1" applyProtection="1">
      <alignment horizontal="center" vertical="center"/>
    </xf>
    <xf numFmtId="0" fontId="16" fillId="7" borderId="2" xfId="0" applyFont="1" applyFill="1" applyBorder="1" applyProtection="1">
      <alignment horizontal="left" vertical="bottom"/>
    </xf>
    <xf numFmtId="0" fontId="18" fillId="7" borderId="2" xfId="0" applyFont="1" applyFill="1" applyBorder="1" applyProtection="1">
      <alignment horizontal="left" vertical="bottom"/>
    </xf>
    <xf numFmtId="164" fontId="5" fillId="11" borderId="3" xfId="0" applyNumberFormat="1" applyFont="1" applyFill="1" applyBorder="1" applyProtection="1">
      <alignment horizontal="center" vertical="center"/>
    </xf>
    <xf numFmtId="164" fontId="5" fillId="12" borderId="3" xfId="0" applyNumberFormat="1" applyFont="1" applyFill="1" applyBorder="1" applyProtection="1">
      <alignment horizontal="center" vertical="center"/>
    </xf>
    <xf numFmtId="0" fontId="6" fillId="0" borderId="4" xfId="0" applyFont="1" applyBorder="1" applyProtection="1">
      <alignment horizontal="general" vertical="center"/>
    </xf>
    <xf numFmtId="0" fontId="6" fillId="0" borderId="9" xfId="0" applyFont="1" applyBorder="1" applyProtection="1">
      <alignment horizontal="general" vertical="center"/>
    </xf>
    <xf numFmtId="0" fontId="17" fillId="7" borderId="9" xfId="0" applyFont="1" applyFill="1" applyBorder="1" applyProtection="1">
      <alignment horizontal="right" vertical="bottom" wrapText="1"/>
    </xf>
    <xf numFmtId="0" fontId="17" fillId="7" borderId="4" xfId="0" applyFont="1" applyFill="1" applyBorder="1" applyProtection="1">
      <alignment horizontal="right" vertical="bottom" wrapText="1"/>
    </xf>
    <xf numFmtId="164" fontId="5" fillId="13" borderId="3" xfId="0" applyNumberFormat="1" applyFont="1" applyFill="1" applyBorder="1" applyProtection="1">
      <alignment horizontal="center" vertical="center"/>
    </xf>
    <xf numFmtId="164" fontId="5" fillId="13" borderId="9" xfId="0" applyNumberFormat="1" applyFont="1" applyFill="1" applyBorder="1" applyProtection="1">
      <alignment horizontal="center" vertical="center"/>
    </xf>
    <xf numFmtId="164" fontId="5" fillId="14" borderId="3" xfId="0" applyNumberFormat="1" applyFont="1" applyFill="1" applyBorder="1" applyProtection="1">
      <alignment horizontal="center" vertical="center"/>
    </xf>
    <xf numFmtId="164" fontId="5" fillId="14" borderId="9" xfId="0" applyNumberFormat="1" applyFont="1" applyFill="1" applyBorder="1" applyProtection="1">
      <alignment horizontal="center" vertical="center"/>
    </xf>
    <xf numFmtId="164" fontId="8" fillId="3" borderId="6" xfId="0" applyNumberFormat="1" applyFont="1" applyFill="1" applyBorder="1" applyProtection="1">
      <alignment horizontal="center" vertical="center" wrapText="1"/>
    </xf>
    <xf numFmtId="0" fontId="7" fillId="7" borderId="3" xfId="0" applyFont="1" applyFill="1" applyBorder="1" applyProtection="1">
      <alignment horizontal="left" vertical="center"/>
    </xf>
    <xf numFmtId="0" fontId="17" fillId="7" borderId="10" xfId="0" applyFont="1" applyFill="1" applyBorder="1" applyProtection="1">
      <alignment horizontal="right" vertical="bottom" wrapText="1"/>
    </xf>
    <xf numFmtId="0" fontId="17" fillId="7" borderId="11" xfId="0" applyFont="1" applyFill="1" applyBorder="1" applyProtection="1">
      <alignment horizontal="right" vertical="bottom" wrapText="1"/>
    </xf>
    <xf numFmtId="164" fontId="5" fillId="0" borderId="7" xfId="0" applyNumberFormat="1" applyFont="1" applyBorder="1" applyProtection="1">
      <alignment horizontal="center" vertical="center"/>
    </xf>
    <xf numFmtId="164" fontId="5" fillId="11" borderId="2" xfId="0" applyNumberFormat="1" applyFont="1" applyFill="1" applyBorder="1" applyProtection="1">
      <alignment horizontal="center" vertical="center"/>
    </xf>
    <xf numFmtId="165" fontId="8" fillId="3" borderId="6" xfId="0" applyNumberFormat="1" applyFont="1" applyFill="1" applyBorder="1" applyProtection="1">
      <alignment horizontal="center" vertical="center" wrapText="1"/>
    </xf>
    <xf numFmtId="0" fontId="19" fillId="7" borderId="3" xfId="0" applyFont="1" applyFill="1" applyBorder="1" applyProtection="1">
      <alignment horizontal="center" vertical="center" wrapText="1"/>
    </xf>
    <xf numFmtId="0" fontId="7" fillId="15" borderId="4" xfId="0" applyFont="1" applyFill="1" applyBorder="1" applyProtection="1">
      <alignment horizontal="left" vertical="center" wrapText="1"/>
    </xf>
    <xf numFmtId="0" fontId="7" fillId="15" borderId="3" xfId="0" applyFont="1" applyFill="1" applyBorder="1" applyProtection="1">
      <alignment horizontal="left" vertical="center"/>
    </xf>
    <xf numFmtId="0" fontId="16" fillId="15" borderId="3" xfId="0" applyFont="1" applyFill="1" applyBorder="1" applyProtection="1">
      <alignment horizontal="left" vertical="bottom" wrapText="1"/>
    </xf>
    <xf numFmtId="0" fontId="10" fillId="15" borderId="3" xfId="0" applyFont="1" applyFill="1" applyBorder="1" applyProtection="1">
      <alignment horizontal="center" vertical="center" wrapText="1"/>
    </xf>
    <xf numFmtId="0" fontId="10" fillId="15" borderId="3" xfId="0" applyFont="1" applyFill="1" applyBorder="1" applyProtection="1">
      <alignment horizontal="center" vertical="center" wrapText="1"/>
    </xf>
    <xf numFmtId="0" fontId="17" fillId="15" borderId="3" xfId="0" applyFont="1" applyFill="1" applyBorder="1" applyProtection="1">
      <alignment horizontal="right" vertical="bottom" wrapText="1"/>
    </xf>
    <xf numFmtId="0" fontId="5" fillId="0" borderId="2" xfId="0" applyFont="1" applyBorder="1" applyProtection="1">
      <alignment horizontal="center" vertical="center" wrapText="1"/>
    </xf>
    <xf numFmtId="164" fontId="5" fillId="0" borderId="2" xfId="0" applyNumberFormat="1" applyFont="1" applyBorder="1" applyProtection="1">
      <alignment horizontal="center" vertical="center"/>
    </xf>
    <xf numFmtId="164" fontId="5" fillId="8" borderId="2" xfId="0" applyNumberFormat="1" applyFont="1" applyFill="1" applyBorder="1" applyProtection="1">
      <alignment horizontal="center" vertical="center"/>
    </xf>
    <xf numFmtId="0" fontId="5" fillId="0" borderId="3" xfId="0" applyFont="1" applyBorder="1" applyProtection="1">
      <alignment horizontal="center" vertical="center" wrapText="1"/>
    </xf>
    <xf numFmtId="164" fontId="5" fillId="13" borderId="2" xfId="0" applyNumberFormat="1" applyFont="1" applyFill="1" applyBorder="1" applyProtection="1">
      <alignment horizontal="center" vertical="center"/>
    </xf>
    <xf numFmtId="164" fontId="5" fillId="14" borderId="2" xfId="0" applyNumberFormat="1" applyFont="1" applyFill="1" applyBorder="1" applyProtection="1">
      <alignment horizontal="center" vertical="center"/>
    </xf>
    <xf numFmtId="164" fontId="5" fillId="14" borderId="4" xfId="0" applyNumberFormat="1" applyFont="1" applyFill="1" applyBorder="1" applyProtection="1">
      <alignment horizontal="center" vertical="center"/>
    </xf>
    <xf numFmtId="164" fontId="5" fillId="8" borderId="4" xfId="0" applyNumberFormat="1" applyFont="1" applyFill="1" applyBorder="1" applyProtection="1">
      <alignment horizontal="center" vertical="center"/>
    </xf>
    <xf numFmtId="164" fontId="5" fillId="8" borderId="9" xfId="0" applyNumberFormat="1" applyFont="1" applyFill="1" applyBorder="1" applyProtection="1">
      <alignment horizontal="center" vertical="center"/>
    </xf>
    <xf numFmtId="0" fontId="7" fillId="15" borderId="3" xfId="0" applyFont="1" applyFill="1" applyBorder="1" applyProtection="1">
      <alignment horizontal="left" vertical="center" wrapText="1"/>
    </xf>
    <xf numFmtId="0" fontId="7" fillId="16" borderId="7" xfId="0" applyFont="1" applyFill="1" applyBorder="1" applyProtection="1">
      <alignment horizontal="center" vertical="center"/>
    </xf>
    <xf numFmtId="0" fontId="7" fillId="5" borderId="3" xfId="0" applyFont="1" applyFill="1" applyBorder="1" applyProtection="1">
      <alignment horizontal="center" vertical="center" wrapText="1"/>
    </xf>
    <xf numFmtId="0" fontId="10" fillId="15" borderId="7" xfId="0" applyFont="1" applyFill="1" applyBorder="1" applyProtection="1">
      <alignment horizontal="center" vertical="center" wrapText="1"/>
    </xf>
    <xf numFmtId="0" fontId="4" fillId="15" borderId="2" xfId="0" applyFont="1" applyFill="1" applyBorder="1" applyProtection="1">
      <alignment horizontal="center" vertical="center" wrapText="1"/>
    </xf>
    <xf numFmtId="0" fontId="4" fillId="15" borderId="2" xfId="0" applyFont="1" applyFill="1" applyBorder="1" applyProtection="1">
      <alignment horizontal="center" vertical="center" wrapText="1"/>
    </xf>
    <xf numFmtId="0" fontId="10" fillId="5" borderId="2" xfId="0" applyFont="1" applyFill="1" applyBorder="1" applyProtection="1">
      <alignment horizontal="center" vertical="center" wrapText="1"/>
    </xf>
    <xf numFmtId="164" fontId="5" fillId="11" borderId="8" xfId="0" applyNumberFormat="1" applyFont="1" applyFill="1" applyBorder="1" applyProtection="1">
      <alignment horizontal="center" vertical="center"/>
    </xf>
    <xf numFmtId="0" fontId="5" fillId="16" borderId="8" xfId="0" applyFont="1" applyFill="1" applyBorder="1" applyProtection="1">
      <alignment horizontal="left" vertical="top" wrapText="1"/>
    </xf>
    <xf numFmtId="164" fontId="11" fillId="0" borderId="3" xfId="0" applyNumberFormat="1" applyFont="1" applyBorder="1" applyProtection="1">
      <alignment horizontal="left" vertical="center"/>
    </xf>
    <xf numFmtId="164" fontId="11" fillId="0" borderId="3" xfId="0" applyNumberFormat="1" applyFont="1" applyBorder="1" applyProtection="1">
      <alignment horizontal="center" vertical="center" wrapText="1"/>
    </xf>
    <xf numFmtId="0" fontId="8" fillId="3" borderId="6" xfId="0" applyFont="1" applyFill="1" applyBorder="1" applyProtection="1">
      <alignment horizontal="center" vertical="center" wrapText="1"/>
    </xf>
    <xf numFmtId="0" fontId="10" fillId="5" borderId="2" xfId="0" applyFont="1" applyFill="1" applyBorder="1" applyProtection="1">
      <alignment horizontal="center" vertical="center"/>
    </xf>
    <xf numFmtId="0" fontId="5" fillId="0" borderId="3" xfId="0" applyFont="1" applyBorder="1" applyProtection="1">
      <alignment horizontal="left" vertical="top" wrapText="1"/>
    </xf>
    <xf numFmtId="0" fontId="20" fillId="0" borderId="0" xfId="0" applyFont="1">
      <alignment horizontal="general" vertical="center"/>
    </xf>
    <xf numFmtId="166" fontId="20" fillId="0" borderId="0" xfId="0" applyNumberFormat="1" applyFont="1">
      <alignment horizontal="center" vertical="bottom"/>
    </xf>
    <xf numFmtId="0" fontId="20" fillId="0" borderId="0" xfId="0" applyFont="1">
      <alignment horizontal="general" vertical="bottom" wrapText="1"/>
    </xf>
    <xf numFmtId="0" fontId="21" fillId="0" borderId="0" xfId="0" applyFont="1">
      <alignment horizontal="center" vertical="bottom" wrapText="1"/>
    </xf>
    <xf numFmtId="0" fontId="21" fillId="0" borderId="0" xfId="0" applyFont="1">
      <alignment horizontal="center" vertical="bottom"/>
    </xf>
    <xf numFmtId="0" fontId="22" fillId="17" borderId="12" xfId="0" applyFont="1" applyFill="1" applyBorder="1" applyProtection="1">
      <alignment horizontal="center" vertical="center" wrapText="1"/>
    </xf>
    <xf numFmtId="0" fontId="6" fillId="0" borderId="13" xfId="0" applyFont="1" applyBorder="1" applyProtection="1">
      <alignment horizontal="general" vertical="center"/>
    </xf>
    <xf numFmtId="0" fontId="23" fillId="17" borderId="14" xfId="0" applyFont="1" applyFill="1" applyBorder="1" applyProtection="1">
      <alignment horizontal="center" vertical="center" wrapText="1"/>
    </xf>
    <xf numFmtId="0" fontId="24" fillId="18" borderId="15" xfId="0" applyFont="1" applyFill="1" applyBorder="1" applyProtection="1">
      <alignment horizontal="center" vertical="center" wrapText="1"/>
    </xf>
    <xf numFmtId="0" fontId="23" fillId="17" borderId="15" xfId="0" applyFont="1" applyFill="1" applyBorder="1" applyProtection="1">
      <alignment horizontal="center" vertical="center" wrapText="1"/>
    </xf>
    <xf numFmtId="0" fontId="25" fillId="18" borderId="15" xfId="0" applyFont="1" applyFill="1" applyBorder="1" applyProtection="1">
      <alignment horizontal="center" vertical="center"/>
    </xf>
    <xf numFmtId="167" fontId="24" fillId="18" borderId="15" xfId="0" applyNumberFormat="1" applyFont="1" applyFill="1" applyBorder="1" applyProtection="1">
      <alignment horizontal="center" vertical="center" wrapText="1"/>
    </xf>
    <xf numFmtId="167" fontId="25" fillId="18" borderId="15" xfId="0" applyNumberFormat="1" applyFont="1" applyFill="1" applyBorder="1" applyProtection="1">
      <alignment horizontal="center" vertical="center"/>
    </xf>
    <xf numFmtId="0" fontId="23" fillId="17" borderId="15" xfId="0" applyFont="1" applyFill="1" applyBorder="1" applyProtection="1">
      <alignment horizontal="center" vertical="center"/>
    </xf>
    <xf numFmtId="0" fontId="6" fillId="0" borderId="15" xfId="0" applyFont="1" applyBorder="1" applyProtection="1">
      <alignment horizontal="general" vertical="center"/>
    </xf>
    <xf numFmtId="0" fontId="23" fillId="17" borderId="15" xfId="0" applyFont="1" applyFill="1" applyBorder="1" applyProtection="1">
      <alignment horizontal="center" vertical="center" wrapText="1"/>
    </xf>
    <xf numFmtId="0" fontId="23" fillId="17" borderId="15" xfId="0" applyFont="1" applyFill="1" applyBorder="1" applyProtection="1">
      <alignment horizontal="center" vertical="center" wrapText="1"/>
    </xf>
    <xf numFmtId="0" fontId="6" fillId="0" borderId="14" xfId="0" applyFont="1" applyBorder="1" applyProtection="1">
      <alignment horizontal="general" vertical="center"/>
    </xf>
    <xf numFmtId="166" fontId="26" fillId="0" borderId="15" xfId="0" applyNumberFormat="1" applyFont="1" applyBorder="1" applyProtection="1">
      <alignment horizontal="center" vertical="center" wrapText="1"/>
    </xf>
    <xf numFmtId="3" fontId="6" fillId="0" borderId="15" xfId="0" applyNumberFormat="1" applyFont="1" applyBorder="1" applyProtection="1">
      <alignment horizontal="general" vertical="center"/>
    </xf>
    <xf numFmtId="0" fontId="23" fillId="17" borderId="15" xfId="0" applyFont="1" applyFill="1" applyBorder="1" applyProtection="1">
      <alignment horizontal="center" vertical="center" wrapText="1"/>
    </xf>
    <xf numFmtId="0" fontId="23" fillId="17" borderId="16" xfId="0" applyFont="1" applyFill="1" applyBorder="1" applyProtection="1">
      <alignment horizontal="center" vertical="center" wrapText="1"/>
    </xf>
    <xf numFmtId="0" fontId="23" fillId="17" borderId="16" xfId="0" applyFont="1" applyFill="1" applyBorder="1" applyProtection="1">
      <alignment horizontal="center" vertical="center" wrapText="1"/>
    </xf>
    <xf numFmtId="166" fontId="26" fillId="0" borderId="15" xfId="0" applyNumberFormat="1" applyFont="1" applyBorder="1" applyProtection="1">
      <alignment horizontal="center" vertical="center" wrapText="1"/>
    </xf>
    <xf numFmtId="10" fontId="26" fillId="0" borderId="15" xfId="0" applyNumberFormat="1" applyFont="1" applyBorder="1" applyProtection="1">
      <alignment horizontal="center" vertical="center" wrapText="1"/>
    </xf>
    <xf numFmtId="166" fontId="26" fillId="0" borderId="16" xfId="0" applyNumberFormat="1" applyFont="1" applyBorder="1" applyProtection="1">
      <alignment horizontal="center" vertical="center" wrapText="1"/>
    </xf>
    <xf numFmtId="10" fontId="27" fillId="0" borderId="16" xfId="0" applyNumberFormat="1" applyFont="1" applyBorder="1" applyProtection="1">
      <alignment horizontal="center" vertical="center" wrapText="1"/>
    </xf>
    <xf numFmtId="0" fontId="26" fillId="14" borderId="14" xfId="0" applyFont="1" applyFill="1" applyBorder="1" applyProtection="1">
      <alignment horizontal="center" vertical="center" wrapText="1"/>
    </xf>
    <xf numFmtId="0" fontId="26" fillId="14" borderId="15" xfId="0" applyFont="1" applyFill="1" applyBorder="1" applyProtection="1">
      <alignment horizontal="center" vertical="center" wrapText="1"/>
    </xf>
    <xf numFmtId="0" fontId="26" fillId="12" borderId="15" xfId="0" applyFont="1" applyFill="1" applyBorder="1" applyProtection="1">
      <alignment horizontal="center" vertical="center" wrapText="1"/>
    </xf>
    <xf numFmtId="0" fontId="26" fillId="14" borderId="15" xfId="0" applyFont="1" applyFill="1" applyBorder="1" applyProtection="1">
      <alignment horizontal="center" vertical="center"/>
    </xf>
    <xf numFmtId="0" fontId="26" fillId="0" borderId="17" xfId="0" applyFont="1" applyBorder="1" applyProtection="1">
      <alignment horizontal="center" vertical="center" wrapText="1"/>
    </xf>
    <xf numFmtId="0" fontId="26" fillId="0" borderId="15" xfId="0" applyFont="1" applyBorder="1" applyProtection="1">
      <alignment horizontal="center" vertical="center" wrapText="1"/>
    </xf>
    <xf numFmtId="0" fontId="25" fillId="0" borderId="15" xfId="0" applyFont="1" applyBorder="1" applyProtection="1">
      <alignment horizontal="left" vertical="center"/>
    </xf>
    <xf numFmtId="0" fontId="28" fillId="0" borderId="15" xfId="0" applyFont="1" applyBorder="1" applyProtection="1">
      <alignment horizontal="left" vertical="center" wrapText="1"/>
    </xf>
    <xf numFmtId="168" fontId="29" fillId="0" borderId="15" xfId="0" applyNumberFormat="1" applyFont="1" applyBorder="1" applyProtection="1">
      <alignment horizontal="right" vertical="center" wrapText="1"/>
    </xf>
    <xf numFmtId="9" fontId="30" fillId="0" borderId="15" xfId="0" applyNumberFormat="1" applyFont="1" applyBorder="1" applyProtection="1">
      <alignment horizontal="center" vertical="center" wrapText="1"/>
    </xf>
    <xf numFmtId="0" fontId="26" fillId="0" borderId="18" xfId="0" applyFont="1" applyBorder="1" applyProtection="1">
      <alignment horizontal="center" vertical="center" wrapText="1"/>
    </xf>
    <xf numFmtId="0" fontId="26" fillId="19" borderId="15" xfId="0" applyFont="1" applyFill="1" applyBorder="1" applyProtection="1">
      <alignment horizontal="center" vertical="center" wrapText="1"/>
    </xf>
    <xf numFmtId="0" fontId="6" fillId="19" borderId="15" xfId="0" applyFont="1" applyFill="1" applyBorder="1" applyProtection="1">
      <alignment horizontal="general" vertical="center"/>
    </xf>
    <xf numFmtId="0" fontId="25" fillId="19" borderId="15" xfId="0" applyFont="1" applyFill="1" applyBorder="1" applyProtection="1">
      <alignment horizontal="left" vertical="center"/>
    </xf>
    <xf numFmtId="0" fontId="28" fillId="19" borderId="15" xfId="0" applyFont="1" applyFill="1" applyBorder="1" applyProtection="1">
      <alignment horizontal="left" vertical="center" wrapText="1"/>
    </xf>
    <xf numFmtId="168" fontId="29" fillId="19" borderId="15" xfId="0" applyNumberFormat="1" applyFont="1" applyFill="1" applyBorder="1" applyProtection="1">
      <alignment horizontal="right" vertical="center" wrapText="1"/>
    </xf>
    <xf numFmtId="9" fontId="30" fillId="19" borderId="15" xfId="0" applyNumberFormat="1" applyFont="1" applyFill="1" applyBorder="1" applyProtection="1">
      <alignment horizontal="center" vertical="center" wrapText="1"/>
    </xf>
    <xf numFmtId="0" fontId="26" fillId="0" borderId="19" xfId="0" applyFont="1" applyBorder="1" applyProtection="1">
      <alignment horizontal="center" vertical="center" wrapText="1"/>
    </xf>
    <xf numFmtId="0" fontId="26" fillId="0" borderId="14" xfId="0" applyFont="1" applyBorder="1" applyProtection="1">
      <alignment horizontal="center" vertical="center" wrapText="1"/>
    </xf>
    <xf numFmtId="0" fontId="26" fillId="0" borderId="15" xfId="0" applyFont="1" applyBorder="1" applyProtection="1">
      <alignment horizontal="center" vertical="center" wrapText="1"/>
    </xf>
    <xf numFmtId="0" fontId="25" fillId="0" borderId="15" xfId="0" applyFont="1" applyBorder="1" applyProtection="1">
      <alignment horizontal="left" vertical="center"/>
    </xf>
    <xf numFmtId="0" fontId="28" fillId="0" borderId="15" xfId="0" applyFont="1" applyBorder="1" applyProtection="1">
      <alignment horizontal="general" vertical="center" wrapText="1"/>
    </xf>
    <xf numFmtId="0" fontId="25" fillId="9" borderId="15" xfId="0" applyFont="1" applyFill="1" applyBorder="1" applyProtection="1">
      <alignment horizontal="left" vertical="center"/>
    </xf>
    <xf numFmtId="0" fontId="28" fillId="9" borderId="15" xfId="0" applyFont="1" applyFill="1" applyBorder="1" applyProtection="1">
      <alignment horizontal="left" vertical="center" wrapText="1"/>
    </xf>
    <xf numFmtId="168" fontId="29" fillId="9" borderId="15" xfId="0" applyNumberFormat="1" applyFont="1" applyFill="1" applyBorder="1" applyProtection="1">
      <alignment horizontal="right" vertical="center" wrapText="1"/>
    </xf>
    <xf numFmtId="9" fontId="30" fillId="9" borderId="15" xfId="0" applyNumberFormat="1" applyFont="1" applyFill="1" applyBorder="1" applyProtection="1">
      <alignment horizontal="center" vertical="center" wrapText="1"/>
    </xf>
    <xf numFmtId="0" fontId="26" fillId="20" borderId="15" xfId="0" applyFont="1" applyFill="1" applyBorder="1" applyProtection="1">
      <alignment horizontal="center" vertical="center" wrapText="1"/>
    </xf>
    <xf numFmtId="0" fontId="25" fillId="0" borderId="15" xfId="0" applyFont="1" applyBorder="1" applyProtection="1">
      <alignment horizontal="left" vertical="center"/>
    </xf>
    <xf numFmtId="0" fontId="26" fillId="0" borderId="20" xfId="0" applyFont="1" applyBorder="1" applyProtection="1">
      <alignment horizontal="center" vertical="center" wrapText="1"/>
    </xf>
    <xf numFmtId="0" fontId="26" fillId="0" borderId="21" xfId="0" applyFont="1" applyBorder="1" applyProtection="1">
      <alignment horizontal="center" vertical="center" wrapText="1"/>
    </xf>
    <xf numFmtId="0" fontId="6" fillId="0" borderId="22" xfId="0" applyFont="1" applyBorder="1" applyProtection="1">
      <alignment horizontal="general" vertical="center"/>
    </xf>
    <xf numFmtId="0" fontId="6" fillId="0" borderId="23" xfId="0" applyFont="1" applyBorder="1" applyProtection="1">
      <alignment horizontal="general" vertical="center"/>
    </xf>
    <xf numFmtId="0" fontId="26" fillId="0" borderId="21" xfId="0" applyFont="1" applyBorder="1" applyProtection="1">
      <alignment horizontal="center" vertical="center" wrapText="1"/>
    </xf>
    <xf numFmtId="0" fontId="31" fillId="0" borderId="21" xfId="0" applyFont="1" applyBorder="1" applyProtection="1">
      <alignment horizontal="center" vertical="center" wrapText="1"/>
    </xf>
    <xf numFmtId="0" fontId="31" fillId="0" borderId="22" xfId="0" applyFont="1" applyBorder="1" applyProtection="1">
      <alignment horizontal="general" vertical="center"/>
    </xf>
    <xf numFmtId="0" fontId="20" fillId="0" borderId="24" xfId="0" applyFont="1" applyBorder="1" applyProtection="1">
      <alignment horizontal="left" vertical="center" wrapText="1"/>
    </xf>
    <xf numFmtId="0" fontId="6" fillId="0" borderId="25" xfId="0" applyFont="1" applyBorder="1" applyProtection="1">
      <alignment horizontal="general" vertical="center"/>
    </xf>
    <xf numFmtId="0" fontId="24" fillId="18" borderId="26" xfId="0" applyFont="1" applyFill="1" applyBorder="1" applyProtection="1">
      <alignment horizontal="center" vertical="center" wrapText="1"/>
    </xf>
    <xf numFmtId="0" fontId="24" fillId="18" borderId="26" xfId="0" applyFont="1" applyFill="1" applyBorder="1" applyProtection="1">
      <alignment horizontal="center" vertical="center"/>
    </xf>
    <xf numFmtId="0" fontId="23" fillId="17" borderId="26" xfId="0" applyFont="1" applyFill="1" applyBorder="1" applyProtection="1">
      <alignment horizontal="center" vertical="center" wrapText="1"/>
    </xf>
    <xf numFmtId="0" fontId="20" fillId="0" borderId="0" xfId="0" applyFont="1">
      <alignment horizontal="general" vertical="center"/>
    </xf>
    <xf numFmtId="3" fontId="26" fillId="0" borderId="26" xfId="0" applyNumberFormat="1" applyFont="1" applyBorder="1" applyProtection="1">
      <alignment horizontal="center" vertical="center" wrapText="1"/>
    </xf>
    <xf numFmtId="10" fontId="26" fillId="0" borderId="16" xfId="0" applyNumberFormat="1" applyFont="1" applyBorder="1" applyProtection="1">
      <alignment horizontal="center" vertical="center" wrapText="1"/>
    </xf>
    <xf numFmtId="10" fontId="26" fillId="0" borderId="26" xfId="0" applyNumberFormat="1" applyFont="1" applyBorder="1" applyProtection="1">
      <alignment horizontal="center" vertical="center" wrapText="1"/>
    </xf>
    <xf numFmtId="0" fontId="26" fillId="14" borderId="16" xfId="0" applyFont="1" applyFill="1" applyBorder="1" applyProtection="1">
      <alignment horizontal="center" vertical="center"/>
    </xf>
    <xf numFmtId="0" fontId="6" fillId="0" borderId="27" xfId="0" applyFont="1" applyBorder="1" applyProtection="1">
      <alignment horizontal="general" vertical="center"/>
    </xf>
    <xf numFmtId="0" fontId="6" fillId="0" borderId="27" xfId="0" applyFont="1" applyBorder="1" applyProtection="1">
      <alignment horizontal="general" vertical="center" wrapText="1"/>
    </xf>
    <xf numFmtId="0" fontId="30" fillId="19" borderId="16" xfId="0" applyFont="1" applyFill="1" applyBorder="1" applyProtection="1">
      <alignment horizontal="left" vertical="center" wrapText="1"/>
    </xf>
    <xf numFmtId="0" fontId="6" fillId="19" borderId="27" xfId="0" applyFont="1" applyFill="1" applyBorder="1" applyProtection="1">
      <alignment horizontal="general" vertical="center"/>
    </xf>
    <xf numFmtId="0" fontId="25" fillId="19" borderId="16" xfId="0" applyFont="1" applyFill="1" applyBorder="1" applyProtection="1">
      <alignment horizontal="left" vertical="center" wrapText="1"/>
    </xf>
    <xf numFmtId="0" fontId="25" fillId="0" borderId="15" xfId="0" applyFont="1" applyBorder="1" applyProtection="1">
      <alignment horizontal="left" vertical="center" wrapText="1"/>
    </xf>
    <xf numFmtId="0" fontId="25" fillId="0" borderId="27" xfId="0" applyFont="1" applyBorder="1" applyProtection="1">
      <alignment horizontal="general" vertical="center" wrapText="1"/>
    </xf>
    <xf numFmtId="0" fontId="25" fillId="0" borderId="16" xfId="0" applyFont="1" applyBorder="1" applyProtection="1">
      <alignment horizontal="general" vertical="center"/>
    </xf>
    <xf numFmtId="0" fontId="25" fillId="9" borderId="16" xfId="0" applyFont="1" applyFill="1" applyBorder="1" applyProtection="1">
      <alignment horizontal="general" vertical="center" wrapText="1"/>
    </xf>
    <xf numFmtId="0" fontId="31" fillId="0" borderId="28" xfId="0" applyFont="1" applyBorder="1" applyProtection="1">
      <alignment horizontal="general" vertical="center"/>
    </xf>
    <xf numFmtId="0" fontId="6" fillId="0" borderId="28" xfId="0" applyFont="1" applyBorder="1" applyProtection="1">
      <alignment horizontal="general" vertical="center"/>
    </xf>
    <xf numFmtId="0" fontId="32" fillId="21" borderId="29" xfId="0" applyFont="1" applyFill="1" applyBorder="1" applyProtection="1">
      <alignment horizontal="center" vertical="center"/>
    </xf>
    <xf numFmtId="0" fontId="22" fillId="22" borderId="29" xfId="0" applyFont="1" applyFill="1" applyBorder="1" applyProtection="1">
      <alignment horizontal="left" vertical="center" indent="1"/>
    </xf>
    <xf numFmtId="0" fontId="33" fillId="23" borderId="30" xfId="0" applyFont="1" applyFill="1" applyBorder="1" applyProtection="1">
      <alignment horizontal="right" vertical="center" indent="1"/>
    </xf>
    <xf numFmtId="0" fontId="33" fillId="23" borderId="29" xfId="0" applyFont="1" applyFill="1" applyBorder="1" applyProtection="1">
      <alignment horizontal="right" vertical="center" indent="1"/>
    </xf>
    <xf numFmtId="0" fontId="25" fillId="2" borderId="29" xfId="0" applyFont="1" applyFill="1" applyBorder="1" applyProtection="1">
      <alignment horizontal="left" vertical="center" indent="1"/>
    </xf>
    <xf numFmtId="0" fontId="25" fillId="2" borderId="31" xfId="0" applyFont="1" applyFill="1" applyBorder="1" applyProtection="1">
      <alignment horizontal="left" vertical="center"/>
    </xf>
    <xf numFmtId="0" fontId="34" fillId="2" borderId="32" xfId="0" applyFont="1" applyFill="1" applyBorder="1" applyProtection="1">
      <alignment horizontal="left" vertical="center"/>
    </xf>
    <xf numFmtId="0" fontId="34" fillId="2" borderId="31" xfId="0" applyFont="1" applyFill="1" applyBorder="1" applyProtection="1">
      <alignment horizontal="left" vertical="center"/>
    </xf>
    <xf numFmtId="0" fontId="35" fillId="22" borderId="29" xfId="0" applyFont="1" applyFill="1" applyBorder="1" applyProtection="1">
      <alignment horizontal="center" vertical="center" wrapText="1"/>
    </xf>
    <xf numFmtId="0" fontId="36" fillId="23" borderId="29" xfId="0" applyFont="1" applyFill="1" applyBorder="1" applyProtection="1">
      <alignment horizontal="center" vertical="center" wrapText="1"/>
    </xf>
    <xf numFmtId="0" fontId="37" fillId="2" borderId="29" xfId="0" applyFont="1" applyFill="1" applyBorder="1" applyProtection="1">
      <alignment horizontal="center" vertical="center"/>
    </xf>
    <xf numFmtId="0" fontId="38" fillId="2" borderId="29" xfId="0" applyFont="1" applyFill="1" applyBorder="1" applyProtection="1">
      <alignment horizontal="center" vertical="center" wrapText="1"/>
    </xf>
    <xf numFmtId="0" fontId="38" fillId="2" borderId="29" xfId="0" applyFont="1" applyFill="1" applyBorder="1" applyProtection="1">
      <alignment horizontal="left" vertical="center" wrapText="1" indent="1"/>
    </xf>
    <xf numFmtId="0" fontId="34" fillId="2" borderId="29" xfId="0" applyFont="1" applyFill="1" applyBorder="1" applyProtection="1">
      <alignment horizontal="left" vertical="center" wrapText="1"/>
    </xf>
    <xf numFmtId="0" fontId="39" fillId="24" borderId="29" xfId="0" applyFont="1" applyFill="1" applyBorder="1" applyProtection="1">
      <alignment horizontal="left" vertical="center" wrapText="1"/>
    </xf>
    <xf numFmtId="0" fontId="40" fillId="25" borderId="29" xfId="0" applyFont="1" applyFill="1" applyBorder="1" applyProtection="1">
      <alignment horizontal="left" vertical="center" wrapText="1"/>
    </xf>
    <xf numFmtId="0" fontId="41" fillId="26" borderId="29" xfId="0" applyFont="1" applyFill="1" applyBorder="1" applyProtection="1">
      <alignment horizontal="left" vertical="center" wrapText="1"/>
    </xf>
    <xf numFmtId="167" fontId="25" fillId="2" borderId="29" xfId="0" applyNumberFormat="1" applyFont="1" applyFill="1" applyBorder="1" applyProtection="1">
      <alignment horizontal="left" vertical="center" indent="1"/>
    </xf>
    <xf numFmtId="0" fontId="25" fillId="2" borderId="29" xfId="0" applyFont="1" applyFill="1" applyBorder="1" applyProtection="1">
      <alignment horizontal="left" vertical="center" wrapText="1" indent="1"/>
    </xf>
    <xf numFmtId="0" fontId="6" fillId="23" borderId="29" xfId="0" applyFont="1" applyFill="1" applyBorder="1" applyProtection="1">
      <alignment horizontal="center" vertical="center"/>
    </xf>
    <xf numFmtId="0" fontId="6" fillId="23" borderId="29" xfId="0" applyFont="1" applyFill="1" applyBorder="1" applyProtection="1">
      <alignment horizontal="left" vertical="center" wrapText="1"/>
    </xf>
    <xf numFmtId="0" fontId="42" fillId="23" borderId="29" xfId="0" applyFont="1" applyFill="1" applyBorder="1" applyProtection="1">
      <alignment horizontal="center" vertical="center" wrapText="1"/>
    </xf>
    <xf numFmtId="0" fontId="6" fillId="0" borderId="0" xfId="0" applyFont="1">
      <alignment horizontal="general" vertical="bottom"/>
    </xf>
    <xf numFmtId="0" fontId="33" fillId="23" borderId="29" xfId="0" applyFont="1" applyFill="1" applyBorder="1" applyProtection="1">
      <alignment horizontal="right" vertical="center" indent="1"/>
    </xf>
    <xf numFmtId="0" fontId="25" fillId="0" borderId="16" xfId="0" applyFont="1" applyBorder="1" applyProtection="1">
      <alignment horizontal="general" vertical="top" wrapText="1"/>
    </xf>
    <xf numFmtId="14" fontId="24" fillId="18" borderId="26" xfId="0" applyNumberFormat="1" applyFont="1" applyFill="1" applyBorder="1" applyProtection="1">
      <alignment horizontal="center" vertical="center" wrapText="1"/>
    </xf>
    <xf numFmtId="0" fontId="6" fillId="0" borderId="27" xfId="0" applyFont="1" applyBorder="1" applyProtection="1">
      <alignment horizontal="general" vertical="top"/>
    </xf>
    <xf numFmtId="2" fontId="25" fillId="2" borderId="29" xfId="0" applyNumberFormat="1" applyFont="1" applyFill="1" applyBorder="1" applyProtection="1">
      <alignment horizontal="left" vertical="center" indent="1"/>
    </xf>
    <xf numFmtId="0" fontId="43" fillId="0" borderId="15" xfId="0" applyFont="1" applyBorder="1" applyProtection="1">
      <alignment horizontal="general" vertical="center"/>
    </xf>
    <xf numFmtId="10" fontId="25" fillId="2" borderId="29" xfId="0" applyNumberFormat="1" applyFont="1" applyFill="1" applyBorder="1" applyProtection="1">
      <alignment horizontal="left" vertical="center" indent="1"/>
    </xf>
    <xf numFmtId="0" fontId="25" fillId="2" borderId="32" xfId="0" applyFont="1" applyFill="1" applyBorder="1" applyProtection="1">
      <alignment horizontal="left" vertical="center" wrapText="1"/>
    </xf>
    <xf numFmtId="0" fontId="25" fillId="2" borderId="32" xfId="0" applyFont="1" applyFill="1" applyBorder="1" applyProtection="1">
      <alignment horizontal="left" vertical="center" wrapText="1"/>
    </xf>
    <xf numFmtId="0" fontId="35" fillId="22" borderId="29" xfId="0" applyFont="1" applyFill="1" applyBorder="1" applyProtection="1">
      <alignment horizontal="center" vertical="center" wrapText="1"/>
    </xf>
    <xf numFmtId="0" fontId="35" fillId="22" borderId="29" xfId="0" applyFont="1" applyFill="1" applyBorder="1" applyProtection="1">
      <alignment horizontal="center" vertical="center" wrapText="1"/>
    </xf>
    <xf numFmtId="0" fontId="35" fillId="22" borderId="29" xfId="0" applyFont="1" applyFill="1" applyBorder="1" applyProtection="1">
      <alignment horizontal="center" vertical="center" wrapText="1"/>
    </xf>
    <xf numFmtId="0" fontId="35" fillId="22" borderId="29" xfId="0" applyFont="1" applyFill="1" applyBorder="1" applyProtection="1">
      <alignment horizontal="center" vertical="center" wrapText="1"/>
    </xf>
    <xf numFmtId="0" fontId="35" fillId="22" borderId="29" xfId="0" applyFont="1" applyFill="1" applyBorder="1" applyProtection="1">
      <alignment horizontal="center" vertical="center" wrapText="1"/>
    </xf>
    <xf numFmtId="0" fontId="35" fillId="22" borderId="29" xfId="0" applyFont="1" applyFill="1" applyBorder="1" applyProtection="1">
      <alignment horizontal="center" vertical="center" wrapText="1"/>
    </xf>
    <xf numFmtId="0" fontId="39" fillId="24" borderId="29" xfId="0" applyFont="1" applyFill="1" applyBorder="1" applyProtection="1">
      <alignment horizontal="left" vertical="center" wrapText="1"/>
    </xf>
    <xf numFmtId="0" fontId="39" fillId="24" borderId="29" xfId="0" applyFont="1" applyFill="1" applyBorder="1" applyProtection="1">
      <alignment horizontal="left" vertical="center" wrapText="1"/>
    </xf>
    <xf numFmtId="0" fontId="40" fillId="25" borderId="29" xfId="0" applyFont="1" applyFill="1" applyBorder="1" applyProtection="1">
      <alignment horizontal="left" vertical="center" wrapText="1"/>
    </xf>
    <xf numFmtId="0" fontId="41" fillId="26" borderId="29" xfId="0" applyFont="1" applyFill="1" applyBorder="1" applyProtection="1">
      <alignment horizontal="left" vertical="center" wrapText="1"/>
    </xf>
    <xf numFmtId="0" fontId="39" fillId="24" borderId="29" xfId="0" applyFont="1" applyFill="1" applyBorder="1" applyProtection="1">
      <alignment horizontal="left" vertical="center" wrapText="1"/>
    </xf>
    <xf numFmtId="0" fontId="40" fillId="25" borderId="29" xfId="0" applyFont="1" applyFill="1" applyBorder="1" applyProtection="1">
      <alignment horizontal="left" vertical="center" wrapText="1"/>
    </xf>
    <xf numFmtId="0" fontId="41" fillId="26" borderId="29" xfId="0" applyFont="1" applyFill="1" applyBorder="1" applyProtection="1">
      <alignment horizontal="left" vertical="center" wrapText="1"/>
    </xf>
    <xf numFmtId="0" fontId="39" fillId="24" borderId="29" xfId="0" applyFont="1" applyFill="1" applyBorder="1" applyProtection="1">
      <alignment horizontal="left" vertical="center" wrapText="1"/>
    </xf>
    <xf numFmtId="0" fontId="40" fillId="25" borderId="29" xfId="0" applyFont="1" applyFill="1" applyBorder="1" applyProtection="1">
      <alignment horizontal="left" vertical="center" wrapText="1"/>
    </xf>
    <xf numFmtId="0" fontId="28" fillId="0" borderId="15" xfId="0" applyFont="1" applyBorder="1" applyProtection="1">
      <alignment horizontal="left" vertical="center" wrapText="1"/>
    </xf>
    <xf numFmtId="0" fontId="25" fillId="0" borderId="16" xfId="0" applyFont="1" applyBorder="1" applyProtection="1">
      <alignment horizontal="left" vertical="center" wrapText="1"/>
    </xf>
    <xf numFmtId="0" fontId="25" fillId="0" borderId="16" xfId="0" applyFont="1" applyBorder="1" applyProtection="1">
      <alignment horizontal="general" vertical="center" wrapText="1"/>
    </xf>
    <xf numFmtId="0" fontId="12" fillId="0" borderId="3" xfId="0" applyFont="1" applyBorder="1" applyProtection="1">
      <alignment horizontal="left" vertical="center" wrapText="1"/>
    </xf>
    <xf numFmtId="0" fontId="6" fillId="27" borderId="29" xfId="0" applyFont="1" applyFill="1" applyBorder="1" applyProtection="1">
      <alignment horizontal="center" vertical="center"/>
    </xf>
    <xf numFmtId="169" fontId="25" fillId="2" borderId="29" xfId="0" applyNumberFormat="1" applyFont="1" applyFill="1" applyBorder="1" applyProtection="1">
      <alignment horizontal="left" vertical="center" indent="1"/>
    </xf>
    <xf numFmtId="0" fontId="44" fillId="2" borderId="32" xfId="0" applyFont="1" applyFill="1" applyBorder="1" applyProtection="1">
      <alignment horizontal="left" vertical="center" wrapText="1"/>
    </xf>
    <xf numFmtId="0" fontId="45" fillId="2" borderId="32" xfId="0" applyFont="1" applyFill="1" applyBorder="1" applyProtection="1">
      <alignment horizontal="left" vertical="center" wrapText="1"/>
    </xf>
    <xf numFmtId="0" fontId="46" fillId="22" borderId="29" xfId="0" applyFont="1" applyFill="1" applyBorder="1" applyProtection="1">
      <alignment horizontal="center" vertical="center" wrapText="1"/>
    </xf>
    <xf numFmtId="0" fontId="47" fillId="22" borderId="29" xfId="0" applyFont="1" applyFill="1" applyBorder="1" applyProtection="1">
      <alignment horizontal="center" vertical="center" wrapText="1"/>
    </xf>
    <xf numFmtId="0" fontId="48" fillId="22" borderId="29" xfId="0" applyFont="1" applyFill="1" applyBorder="1" applyProtection="1">
      <alignment horizontal="center" vertical="center" wrapText="1"/>
    </xf>
    <xf numFmtId="0" fontId="49" fillId="22" borderId="29" xfId="0" applyFont="1" applyFill="1" applyBorder="1" applyProtection="1">
      <alignment horizontal="center" vertical="center" wrapText="1"/>
    </xf>
    <xf numFmtId="0" fontId="50" fillId="22" borderId="29" xfId="0" applyFont="1" applyFill="1" applyBorder="1" applyProtection="1">
      <alignment horizontal="center" vertical="center" wrapText="1"/>
    </xf>
    <xf numFmtId="0" fontId="51" fillId="22" borderId="29" xfId="0" applyFont="1" applyFill="1" applyBorder="1" applyProtection="1">
      <alignment horizontal="center" vertical="center" wrapText="1"/>
    </xf>
    <xf numFmtId="0" fontId="52" fillId="23" borderId="29" xfId="0" applyFont="1" applyFill="1" applyBorder="1" applyProtection="1">
      <alignment horizontal="left" vertical="center" wrapText="1"/>
    </xf>
    <xf numFmtId="0" fontId="53" fillId="24" borderId="29" xfId="0" applyFont="1" applyFill="1" applyBorder="1" applyProtection="1">
      <alignment horizontal="left" vertical="center" wrapText="1"/>
    </xf>
    <xf numFmtId="0" fontId="54" fillId="24" borderId="29" xfId="0" applyFont="1" applyFill="1" applyBorder="1" applyProtection="1">
      <alignment horizontal="left" vertical="center" wrapText="1"/>
    </xf>
    <xf numFmtId="0" fontId="55" fillId="25" borderId="29" xfId="0" applyFont="1" applyFill="1" applyBorder="1" applyProtection="1">
      <alignment horizontal="left" vertical="center" wrapText="1"/>
    </xf>
    <xf numFmtId="0" fontId="56" fillId="26" borderId="29" xfId="0" applyFont="1" applyFill="1" applyBorder="1" applyProtection="1">
      <alignment horizontal="left" vertical="center" wrapText="1"/>
    </xf>
    <xf numFmtId="0" fontId="57" fillId="23" borderId="29" xfId="0" applyFont="1" applyFill="1" applyBorder="1" applyProtection="1">
      <alignment horizontal="left" vertical="center" wrapText="1"/>
    </xf>
    <xf numFmtId="0" fontId="58" fillId="24" borderId="29" xfId="0" applyFont="1" applyFill="1" applyBorder="1" applyProtection="1">
      <alignment horizontal="left" vertical="center" wrapText="1"/>
    </xf>
    <xf numFmtId="0" fontId="59" fillId="25" borderId="29" xfId="0" applyFont="1" applyFill="1" applyBorder="1" applyProtection="1">
      <alignment horizontal="left" vertical="center" wrapText="1"/>
    </xf>
    <xf numFmtId="0" fontId="60" fillId="26" borderId="29" xfId="0" applyFont="1" applyFill="1" applyBorder="1" applyProtection="1">
      <alignment horizontal="left" vertical="center" wrapText="1"/>
    </xf>
    <xf numFmtId="0" fontId="61" fillId="23" borderId="29" xfId="0" applyFont="1" applyFill="1" applyBorder="1" applyProtection="1">
      <alignment horizontal="left" vertical="center" wrapText="1"/>
    </xf>
    <xf numFmtId="0" fontId="62" fillId="24" borderId="29" xfId="0" applyFont="1" applyFill="1" applyBorder="1" applyProtection="1">
      <alignment horizontal="left" vertical="center" wrapText="1"/>
    </xf>
    <xf numFmtId="0" fontId="63" fillId="25" borderId="29" xfId="0" applyFont="1" applyFill="1" applyBorder="1" applyProtection="1">
      <alignment horizontal="left" vertical="center" wrapText="1"/>
    </xf>
    <xf numFmtId="0" fontId="64" fillId="0" borderId="15" xfId="0" applyFont="1" applyBorder="1" applyProtection="1">
      <alignment horizontal="left" vertical="center" wrapText="1"/>
    </xf>
    <xf numFmtId="0" fontId="65" fillId="0" borderId="16" xfId="0" applyFont="1" applyBorder="1" applyProtection="1">
      <alignment horizontal="left" vertical="center" wrapText="1"/>
    </xf>
    <xf numFmtId="0" fontId="66" fillId="0" borderId="16" xfId="0" applyFont="1" applyBorder="1" applyProtection="1">
      <alignment horizontal="general" vertical="center" wrapText="1"/>
    </xf>
    <xf numFmtId="0" fontId="67" fillId="0" borderId="3"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worksheet" Target="worksheets/sheet3.xml"/><Relationship Id="rId1" Type="http://schemas.openxmlformats.org/officeDocument/2006/relationships/worksheet" Target="worksheets/sheet1.xml"/><Relationship Id="rId6" Type="http://schemas.openxmlformats.org/officeDocument/2006/relationships/theme" Target="theme/theme1.xml"/><Relationship Id="rId2" Type="http://schemas.openxmlformats.org/officeDocument/2006/relationships/worksheet" Target="worksheets/sheet2.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D99694"/>
    <outlinePr summaryBelow="0" summaryRight="0"/>
    <pageSetUpPr fitToPage="1"/>
  </sheetPr>
  <dimension ref="A1"/>
  <sheetViews>
    <sheetView workbookViewId="0" tabSelected="1" zoomScale="85" zoomScaleNormal="85">
      <pane topLeftCell="A2" activePane="bottomRight" state="frozen" ySplit="1"/>
    </sheetView>
  </sheetViews>
  <sheetFormatPr baseColWidth="10" defaultColWidth="9" defaultRowHeight="20.0025" customHeight="1"/>
  <cols>
    <col min="1" max="1" width="4.998046875" customWidth="1" style="220"/>
    <col min="2" max="2" width="13.998046875" customWidth="1" style="220"/>
    <col min="3" max="3" width="15.9990234375" customWidth="1" style="220"/>
    <col min="4" max="4" width="13.998046875" customWidth="1" style="220"/>
    <col min="5" max="5" width="19.998046875" customWidth="1" style="220"/>
    <col min="6" max="6" width="27.9990234375" customWidth="1" style="220"/>
    <col min="7" max="7" width="9.1640625" customWidth="1" style="220"/>
    <col min="8" max="8" width="27.9990234375" customWidth="1" style="220"/>
    <col min="9" max="9" width="19.998046875" customWidth="1" style="220"/>
    <col min="10" max="10" width="33.9990234375" customWidth="1" style="220"/>
    <col min="11" max="11" width="19.998046875" customWidth="1" style="220"/>
  </cols>
  <sheetData>
    <row r="1" ht="45" customHeight="1">
      <c r="A1" s="198" t="s">
        <v>0</v>
      </c>
      <c r="B1" s="198"/>
      <c r="C1" s="198"/>
      <c r="D1" s="198"/>
      <c r="E1" s="198"/>
      <c r="F1" s="198"/>
      <c r="G1" s="198"/>
      <c r="H1" s="198"/>
      <c r="I1" s="198"/>
      <c r="J1" s="198"/>
      <c r="K1" s="198"/>
    </row>
    <row r="3" ht="28" customHeight="1">
      <c r="A3" s="199" t="s">
        <v>1</v>
      </c>
      <c r="B3" s="199"/>
      <c r="C3" s="199"/>
      <c r="D3" s="199"/>
      <c r="E3" s="199"/>
      <c r="F3" s="199"/>
      <c r="G3" s="199"/>
      <c r="H3" s="199"/>
      <c r="I3" s="199"/>
      <c r="J3" s="199"/>
      <c r="K3" s="199"/>
    </row>
    <row r="4" ht="25" customHeight="1">
      <c r="A4" s="200" t="s">
        <v>2</v>
      </c>
      <c r="B4" s="201"/>
      <c r="C4" s="201"/>
      <c r="D4" s="202" t="s">
        <v>3</v>
      </c>
      <c r="E4" s="202"/>
      <c r="F4" s="202"/>
      <c r="G4" s="201" t="s">
        <v>4</v>
      </c>
      <c r="H4" s="201"/>
      <c r="I4" s="202" t="s">
        <v>5</v>
      </c>
      <c r="J4" s="202"/>
      <c r="K4" s="202"/>
    </row>
    <row r="5" ht="25" customHeight="1">
      <c r="A5" s="200" t="s">
        <v>6</v>
      </c>
      <c r="B5" s="201"/>
      <c r="C5" s="201"/>
      <c r="D5" s="202" t="s">
        <v>7</v>
      </c>
      <c r="E5" s="202"/>
      <c r="F5" s="202"/>
      <c r="G5" s="201" t="s">
        <v>8</v>
      </c>
      <c r="H5" s="201"/>
      <c r="I5" s="202" t="s">
        <v>9</v>
      </c>
      <c r="J5" s="202"/>
      <c r="K5" s="202"/>
    </row>
    <row r="6" ht="25" customHeight="1">
      <c r="A6" s="200" t="s">
        <v>10</v>
      </c>
      <c r="B6" s="201"/>
      <c r="C6" s="201"/>
      <c r="D6" s="202" t="s">
        <v>11</v>
      </c>
      <c r="E6" s="202"/>
      <c r="F6" s="202"/>
      <c r="G6" s="201" t="s">
        <v>12</v>
      </c>
      <c r="H6" s="201"/>
      <c r="I6" s="202" t="s">
        <v>13</v>
      </c>
      <c r="J6" s="202"/>
      <c r="K6" s="202"/>
    </row>
    <row r="7" ht="25" customHeight="1">
      <c r="A7" s="200" t="s">
        <v>14</v>
      </c>
      <c r="B7" s="201"/>
      <c r="C7" s="201"/>
      <c r="D7" s="202" t="s">
        <f>'附1-预算表'!F2</f>
        <v>15</v>
      </c>
      <c r="E7" s="202"/>
      <c r="F7" s="202"/>
      <c r="G7" s="201" t="s">
        <v>16</v>
      </c>
      <c r="H7" s="201"/>
      <c r="I7" s="202" t="s">
        <f>'附1-预算表'!H2</f>
        <v>17</v>
      </c>
      <c r="J7" s="202"/>
      <c r="K7" s="202"/>
    </row>
    <row r="8" ht="25" customHeight="1">
      <c r="A8" s="200" t="s">
        <v>18</v>
      </c>
      <c r="B8" s="201"/>
      <c r="C8" s="201"/>
      <c r="D8" s="225" t="n">
        <f>'附1-预算表'!B6/10000</f>
        <v>205.852</v>
      </c>
      <c r="E8" s="225"/>
      <c r="F8" s="225"/>
      <c r="G8" s="201" t="s">
        <v>19</v>
      </c>
      <c r="H8" s="201"/>
      <c r="I8" s="215" t="n">
        <v>46266</v>
      </c>
      <c r="J8" s="215"/>
      <c r="K8" s="215"/>
    </row>
    <row r="9" ht="25" customHeight="1">
      <c r="A9" s="201" t="s">
        <v>20</v>
      </c>
      <c r="B9" s="201"/>
      <c r="C9" s="201"/>
      <c r="D9" s="227" t="n">
        <f>'附1-预算表'!H8</f>
        <v>0.050215915561446</v>
      </c>
      <c r="E9" s="227"/>
      <c r="F9" s="227"/>
      <c r="G9" s="201" t="s">
        <v>21</v>
      </c>
      <c r="H9" s="201"/>
      <c r="I9" s="202" t="n">
        <v>0</v>
      </c>
      <c r="J9" s="202"/>
      <c r="K9" s="202"/>
    </row>
    <row r="10" s="220" customFormat="1" ht="25" customHeight="1">
      <c r="A10" s="201" t="s">
        <v>22</v>
      </c>
      <c r="B10" s="201"/>
      <c r="C10" s="201"/>
      <c r="D10" s="202" t="s">
        <v>23</v>
      </c>
      <c r="E10" s="202"/>
      <c r="F10" s="202"/>
      <c r="G10" s="201" t="s">
        <v>24</v>
      </c>
      <c r="H10" s="201"/>
      <c r="I10" s="202" t="s">
        <v>25</v>
      </c>
      <c r="J10" s="202"/>
      <c r="K10" s="202"/>
    </row>
    <row r="11" ht="166.0454545454545" customHeight="1">
      <c r="A11" s="201" t="s">
        <v>26</v>
      </c>
      <c r="B11" s="201"/>
      <c r="C11" s="201"/>
      <c r="D11" s="251" t="s">
        <v>27</v>
      </c>
      <c r="E11" s="203"/>
      <c r="F11" s="203"/>
      <c r="G11" s="203"/>
      <c r="H11" s="203"/>
      <c r="I11" s="203"/>
      <c r="J11" s="203"/>
      <c r="K11" s="203"/>
    </row>
    <row r="12" ht="25" customHeight="1">
      <c r="A12" s="201" t="s">
        <v>28</v>
      </c>
      <c r="B12" s="201"/>
      <c r="C12" s="201"/>
      <c r="D12" s="204" t="s">
        <v>29</v>
      </c>
      <c r="E12" s="205"/>
      <c r="F12" s="205"/>
      <c r="G12" s="205"/>
      <c r="H12" s="205"/>
      <c r="I12" s="205"/>
      <c r="J12" s="205"/>
      <c r="K12" s="205"/>
    </row>
    <row r="13" ht="25" customHeight="1">
      <c r="A13" s="201" t="s">
        <v>30</v>
      </c>
      <c r="B13" s="201"/>
      <c r="C13" s="201"/>
      <c r="D13" s="202" t="s">
        <v>31</v>
      </c>
      <c r="E13" s="202"/>
      <c r="F13" s="202"/>
      <c r="G13" s="201" t="s">
        <v>32</v>
      </c>
      <c r="H13" s="201"/>
      <c r="I13" s="202" t="s">
        <v>25</v>
      </c>
      <c r="J13" s="202"/>
      <c r="K13" s="202"/>
    </row>
    <row r="14" ht="25" customHeight="1">
      <c r="A14" s="221" t="s">
        <v>33</v>
      </c>
      <c r="B14" s="221"/>
      <c r="C14" s="221"/>
      <c r="D14" s="202" t="s">
        <v>25</v>
      </c>
      <c r="E14" s="202"/>
      <c r="F14" s="202"/>
      <c r="G14" s="201"/>
      <c r="H14" s="201"/>
      <c r="I14" s="202"/>
      <c r="J14" s="202"/>
      <c r="K14" s="202"/>
    </row>
    <row r="15" ht="25" customHeight="1">
      <c r="A15" s="201" t="s">
        <v>34</v>
      </c>
      <c r="B15" s="201"/>
      <c r="C15" s="201"/>
      <c r="D15" s="250" t="n">
        <f>1799036.92/10000</f>
        <v>179.903692</v>
      </c>
      <c r="E15" s="250"/>
      <c r="F15" s="250"/>
      <c r="G15" s="201" t="s">
        <v>35</v>
      </c>
      <c r="H15" s="201"/>
      <c r="I15" s="250" t="n">
        <f>1799036.92/10000</f>
        <v>179.903692</v>
      </c>
      <c r="J15" s="250"/>
      <c r="K15" s="250"/>
    </row>
    <row r="16" s="220" customFormat="1" ht="25" customHeight="1">
      <c r="A16" s="201" t="s">
        <v>36</v>
      </c>
      <c r="B16" s="201"/>
      <c r="C16" s="201"/>
      <c r="D16" s="202" t="n">
        <v>0</v>
      </c>
      <c r="E16" s="202"/>
      <c r="F16" s="202"/>
      <c r="G16" s="201" t="s">
        <v>37</v>
      </c>
      <c r="H16" s="201"/>
      <c r="I16" s="202" t="s">
        <v>25</v>
      </c>
      <c r="J16" s="202"/>
      <c r="K16" s="202"/>
    </row>
    <row r="17" s="220" customFormat="1" ht="25" customHeight="1">
      <c r="A17" s="201" t="s">
        <v>38</v>
      </c>
      <c r="B17" s="201"/>
      <c r="C17" s="201"/>
      <c r="D17" s="202" t="s">
        <v>39</v>
      </c>
      <c r="E17" s="202"/>
      <c r="F17" s="202"/>
      <c r="G17" s="201" t="s">
        <v>40</v>
      </c>
      <c r="H17" s="201"/>
      <c r="I17" s="202" t="n">
        <v>0</v>
      </c>
      <c r="J17" s="202"/>
      <c r="K17" s="202"/>
    </row>
    <row r="18" s="220" customFormat="1" ht="25" customHeight="1">
      <c r="A18" s="201" t="s">
        <v>41</v>
      </c>
      <c r="B18" s="201"/>
      <c r="C18" s="201"/>
      <c r="D18" s="202" t="s">
        <v>42</v>
      </c>
      <c r="E18" s="202"/>
      <c r="F18" s="202"/>
      <c r="G18" s="201" t="s">
        <v>43</v>
      </c>
      <c r="H18" s="201"/>
      <c r="I18" s="202" t="s">
        <v>44</v>
      </c>
      <c r="J18" s="202"/>
      <c r="K18" s="202"/>
    </row>
    <row r="19" ht="54" customHeight="1">
      <c r="A19" s="201" t="s">
        <v>45</v>
      </c>
      <c r="B19" s="201"/>
      <c r="C19" s="201"/>
      <c r="D19" s="252" t="s">
        <v>46</v>
      </c>
      <c r="E19" s="203"/>
      <c r="F19" s="203"/>
      <c r="G19" s="203"/>
      <c r="H19" s="203"/>
      <c r="I19" s="203"/>
      <c r="J19" s="203"/>
      <c r="K19" s="203"/>
    </row>
    <row r="20" s="220" customFormat="1" ht="38" customHeight="1">
      <c r="A20" s="201" t="s">
        <v>47</v>
      </c>
      <c r="B20" s="201"/>
      <c r="C20" s="201"/>
      <c r="D20" s="202" t="s">
        <v>48</v>
      </c>
      <c r="E20" s="202"/>
      <c r="F20" s="202"/>
      <c r="G20" s="201" t="s">
        <v>49</v>
      </c>
      <c r="H20" s="201"/>
      <c r="I20" s="216" t="s">
        <v>50</v>
      </c>
      <c r="J20" s="216"/>
      <c r="K20" s="216"/>
    </row>
    <row r="21" ht="25" customHeight="1">
      <c r="A21" s="201" t="s">
        <v>51</v>
      </c>
      <c r="B21" s="201"/>
      <c r="C21" s="201"/>
      <c r="D21" s="202" t="s">
        <v>25</v>
      </c>
      <c r="E21" s="202"/>
      <c r="F21" s="202"/>
      <c r="G21" s="201" t="s">
        <v>52</v>
      </c>
      <c r="H21" s="201"/>
      <c r="I21" s="202" t="s">
        <v>25</v>
      </c>
      <c r="J21" s="202"/>
      <c r="K21" s="202"/>
    </row>
    <row r="22" s="220" customFormat="1" ht="25" customHeight="1">
      <c r="A22" s="201" t="s">
        <v>53</v>
      </c>
      <c r="B22" s="201"/>
      <c r="C22" s="201"/>
      <c r="D22" s="202" t="s">
        <v>25</v>
      </c>
      <c r="E22" s="202"/>
      <c r="F22" s="202"/>
      <c r="G22" s="201" t="s">
        <v>54</v>
      </c>
      <c r="H22" s="201"/>
      <c r="I22" s="202" t="s">
        <v>25</v>
      </c>
      <c r="J22" s="202"/>
      <c r="K22" s="202"/>
    </row>
    <row r="23" ht="25" customHeight="1">
      <c r="A23" s="201" t="s">
        <v>55</v>
      </c>
      <c r="B23" s="201"/>
      <c r="C23" s="201"/>
      <c r="D23" s="202" t="s">
        <v>25</v>
      </c>
      <c r="E23" s="202"/>
      <c r="F23" s="202"/>
      <c r="G23" s="201" t="s">
        <v>56</v>
      </c>
      <c r="H23" s="201"/>
      <c r="I23" s="202" t="s">
        <v>25</v>
      </c>
      <c r="J23" s="202"/>
      <c r="K23" s="202"/>
    </row>
    <row r="24" ht="25" customHeight="1">
      <c r="A24" s="201" t="s">
        <v>57</v>
      </c>
      <c r="B24" s="201"/>
      <c r="C24" s="201"/>
      <c r="D24" s="202" t="s">
        <v>58</v>
      </c>
      <c r="E24" s="202"/>
      <c r="F24" s="202"/>
      <c r="G24" s="201" t="s">
        <v>59</v>
      </c>
      <c r="H24" s="201"/>
      <c r="I24" s="202" t="s">
        <v>60</v>
      </c>
      <c r="J24" s="202"/>
      <c r="K24" s="202"/>
    </row>
    <row r="25" ht="25" customHeight="1">
      <c r="A25" s="201" t="s">
        <v>61</v>
      </c>
      <c r="B25" s="201"/>
      <c r="C25" s="201"/>
      <c r="D25" s="202" t="s">
        <v>62</v>
      </c>
      <c r="E25" s="202"/>
      <c r="F25" s="202"/>
      <c r="G25" s="201" t="s">
        <v>63</v>
      </c>
      <c r="H25" s="201"/>
      <c r="I25" s="202" t="s">
        <v>64</v>
      </c>
      <c r="J25" s="202"/>
      <c r="K25" s="202"/>
    </row>
    <row r="27" ht="28" customHeight="1">
      <c r="A27" s="199" t="s">
        <v>65</v>
      </c>
      <c r="B27" s="199"/>
      <c r="C27" s="199"/>
      <c r="D27" s="199"/>
      <c r="E27" s="199"/>
      <c r="F27" s="199"/>
      <c r="G27" s="199"/>
      <c r="H27" s="199"/>
      <c r="I27" s="199"/>
      <c r="J27" s="199"/>
      <c r="K27" s="199"/>
    </row>
    <row r="28" ht="45" customHeight="1">
      <c r="A28" s="206" t="s">
        <v>66</v>
      </c>
      <c r="B28" s="253" t="s">
        <v>67</v>
      </c>
      <c r="C28" s="206" t="s">
        <v>68</v>
      </c>
      <c r="D28" s="206" t="s">
        <v>69</v>
      </c>
      <c r="E28" s="254" t="s">
        <v>70</v>
      </c>
      <c r="F28" s="255" t="s">
        <v>71</v>
      </c>
      <c r="G28" s="206"/>
      <c r="H28" s="256" t="s">
        <v>72</v>
      </c>
      <c r="I28" s="257" t="s">
        <v>73</v>
      </c>
      <c r="J28" s="206" t="s">
        <v>74</v>
      </c>
      <c r="K28" s="258" t="s">
        <v>75</v>
      </c>
    </row>
    <row r="29" ht="20.0025" customHeight="1">
      <c r="A29" s="207" t="s">
        <v>76</v>
      </c>
      <c r="B29" s="207" t="s">
        <v>76</v>
      </c>
      <c r="C29" s="207" t="s">
        <v>76</v>
      </c>
      <c r="D29" s="207" t="s">
        <v>76</v>
      </c>
      <c r="E29" s="207" t="s">
        <v>76</v>
      </c>
      <c r="F29" s="207" t="s">
        <v>76</v>
      </c>
      <c r="G29" s="207"/>
      <c r="H29" s="207" t="s">
        <v>76</v>
      </c>
      <c r="I29" s="207" t="s">
        <v>77</v>
      </c>
      <c r="J29" s="207" t="s">
        <v>77</v>
      </c>
      <c r="K29" s="207" t="s">
        <v>77</v>
      </c>
    </row>
    <row r="30" ht="442.5" customHeight="1">
      <c r="A30" s="208" t="n">
        <v>1</v>
      </c>
      <c r="B30" s="209" t="s">
        <v>78</v>
      </c>
      <c r="C30" s="210" t="s">
        <v>79</v>
      </c>
      <c r="D30" s="211" t="s">
        <v>80</v>
      </c>
      <c r="E30" s="212" t="s">
        <v>81</v>
      </c>
      <c r="F30" s="213" t="s">
        <v>82</v>
      </c>
      <c r="G30" s="213"/>
      <c r="H30" s="214" t="s">
        <v>76</v>
      </c>
      <c r="I30" s="217" t="s">
        <v>83</v>
      </c>
      <c r="J30" s="259" t="s">
        <v>84</v>
      </c>
      <c r="K30" s="219" t="s">
        <v>85</v>
      </c>
    </row>
    <row r="31" ht="35" customHeight="1">
      <c r="A31" s="208" t="n">
        <v>2</v>
      </c>
      <c r="B31" s="209" t="s">
        <v>86</v>
      </c>
      <c r="C31" s="210" t="s">
        <v>87</v>
      </c>
      <c r="D31" s="211" t="s">
        <v>76</v>
      </c>
      <c r="E31" s="212" t="s">
        <v>88</v>
      </c>
      <c r="F31" s="213" t="s">
        <v>89</v>
      </c>
      <c r="G31" s="213"/>
      <c r="H31" s="214" t="s">
        <v>90</v>
      </c>
      <c r="I31" s="217" t="s">
        <v>83</v>
      </c>
      <c r="J31" s="218" t="s">
        <v>91</v>
      </c>
      <c r="K31" s="219" t="s">
        <v>92</v>
      </c>
    </row>
    <row r="32" ht="36.75" customHeight="1">
      <c r="A32" s="208" t="n">
        <v>3</v>
      </c>
      <c r="B32" s="209" t="s">
        <v>93</v>
      </c>
      <c r="C32" s="210" t="s">
        <v>94</v>
      </c>
      <c r="D32" s="211" t="s">
        <v>95</v>
      </c>
      <c r="E32" s="212" t="s">
        <v>96</v>
      </c>
      <c r="F32" s="213" t="s">
        <v>97</v>
      </c>
      <c r="G32" s="213"/>
      <c r="H32" s="214"/>
      <c r="I32" s="249" t="s">
        <v>98</v>
      </c>
      <c r="J32" s="218" t="s">
        <v>99</v>
      </c>
      <c r="K32" s="219" t="s">
        <v>100</v>
      </c>
    </row>
    <row r="33" ht="63" customHeight="1">
      <c r="A33" s="208" t="n">
        <v>4</v>
      </c>
      <c r="B33" s="209" t="s">
        <v>93</v>
      </c>
      <c r="C33" s="210" t="s">
        <v>101</v>
      </c>
      <c r="D33" s="211" t="s">
        <v>102</v>
      </c>
      <c r="E33" s="260" t="s">
        <v>103</v>
      </c>
      <c r="F33" s="213" t="s">
        <v>104</v>
      </c>
      <c r="G33" s="213"/>
      <c r="H33" s="214" t="s">
        <v>105</v>
      </c>
      <c r="I33" s="217" t="s">
        <v>83</v>
      </c>
      <c r="J33" s="218" t="s">
        <v>76</v>
      </c>
      <c r="K33" s="219" t="s">
        <v>100</v>
      </c>
    </row>
    <row r="34" ht="35" customHeight="1">
      <c r="A34" s="208" t="n">
        <v>5</v>
      </c>
      <c r="B34" s="209" t="s">
        <v>93</v>
      </c>
      <c r="C34" s="210" t="s">
        <v>106</v>
      </c>
      <c r="D34" s="211" t="s">
        <v>107</v>
      </c>
      <c r="E34" s="212" t="s">
        <v>108</v>
      </c>
      <c r="F34" s="213" t="s">
        <v>109</v>
      </c>
      <c r="G34" s="213"/>
      <c r="H34" s="214"/>
      <c r="I34" s="217" t="s">
        <v>83</v>
      </c>
      <c r="J34" s="218" t="s">
        <v>76</v>
      </c>
      <c r="K34" s="219" t="s">
        <v>100</v>
      </c>
    </row>
    <row r="35" ht="235.5" customHeight="1">
      <c r="A35" s="208" t="n">
        <v>6</v>
      </c>
      <c r="B35" s="209" t="s">
        <v>93</v>
      </c>
      <c r="C35" s="210" t="s">
        <v>45</v>
      </c>
      <c r="D35" s="211" t="s">
        <v>76</v>
      </c>
      <c r="E35" s="261" t="s">
        <v>110</v>
      </c>
      <c r="F35" s="262" t="s">
        <v>111</v>
      </c>
      <c r="G35" s="213"/>
      <c r="H35" s="263" t="s">
        <v>112</v>
      </c>
      <c r="I35" s="249" t="s">
        <v>98</v>
      </c>
      <c r="J35" s="264" t="s">
        <v>113</v>
      </c>
      <c r="K35" s="219" t="s">
        <v>100</v>
      </c>
    </row>
    <row r="36" ht="96.75" customHeight="1">
      <c r="A36" s="208" t="n">
        <v>7</v>
      </c>
      <c r="B36" s="209" t="s">
        <v>114</v>
      </c>
      <c r="C36" s="210" t="s">
        <v>115</v>
      </c>
      <c r="D36" s="211" t="s">
        <v>116</v>
      </c>
      <c r="E36" s="265" t="s">
        <v>117</v>
      </c>
      <c r="F36" s="266" t="s">
        <v>118</v>
      </c>
      <c r="G36" s="213"/>
      <c r="H36" s="267" t="s">
        <v>119</v>
      </c>
      <c r="I36" s="217" t="s">
        <v>83</v>
      </c>
      <c r="J36" s="268" t="s">
        <v>120</v>
      </c>
      <c r="K36" s="219" t="s">
        <v>114</v>
      </c>
    </row>
    <row r="37" ht="35" customHeight="1">
      <c r="A37" s="208" t="n">
        <v>8</v>
      </c>
      <c r="B37" s="209" t="s">
        <v>114</v>
      </c>
      <c r="C37" s="210" t="s">
        <v>121</v>
      </c>
      <c r="D37" s="211" t="s">
        <v>122</v>
      </c>
      <c r="E37" s="212" t="s">
        <v>123</v>
      </c>
      <c r="F37" s="213" t="s">
        <v>124</v>
      </c>
      <c r="G37" s="213"/>
      <c r="H37" s="214" t="s">
        <v>125</v>
      </c>
      <c r="I37" s="217" t="s">
        <v>83</v>
      </c>
      <c r="J37" s="218" t="s">
        <v>126</v>
      </c>
      <c r="K37" s="219" t="s">
        <v>114</v>
      </c>
    </row>
    <row r="38" ht="36.75" customHeight="1">
      <c r="A38" s="208" t="n">
        <v>9</v>
      </c>
      <c r="B38" s="209" t="s">
        <v>127</v>
      </c>
      <c r="C38" s="210" t="s">
        <v>128</v>
      </c>
      <c r="D38" s="211" t="s">
        <v>129</v>
      </c>
      <c r="E38" s="269" t="s">
        <v>130</v>
      </c>
      <c r="F38" s="270" t="s">
        <v>131</v>
      </c>
      <c r="G38" s="213"/>
      <c r="H38" s="214" t="s">
        <v>132</v>
      </c>
      <c r="I38" s="217" t="s">
        <v>83</v>
      </c>
      <c r="J38" s="218" t="s">
        <v>133</v>
      </c>
      <c r="K38" s="219" t="s">
        <v>127</v>
      </c>
    </row>
  </sheetData>
  <mergeCells count="96">
    <mergeCell ref="I5:K5"/>
    <mergeCell ref="G23:H23"/>
    <mergeCell ref="D16:F16"/>
    <mergeCell ref="D12:K12"/>
    <mergeCell ref="I22:K22"/>
    <mergeCell ref="A6:C6"/>
    <mergeCell ref="I20:K20"/>
    <mergeCell ref="G17:H17"/>
    <mergeCell ref="G8:H8"/>
    <mergeCell ref="I25:K25"/>
    <mergeCell ref="G13:H13"/>
    <mergeCell ref="A17:C17"/>
    <mergeCell ref="A4:C4"/>
    <mergeCell ref="G6:H6"/>
    <mergeCell ref="A5:C5"/>
    <mergeCell ref="A19:C19"/>
    <mergeCell ref="D21:F21"/>
    <mergeCell ref="A21:C21"/>
    <mergeCell ref="F33:G33"/>
    <mergeCell ref="A13:C13"/>
    <mergeCell ref="A14:C14"/>
    <mergeCell ref="A25:C25"/>
    <mergeCell ref="G18:H18"/>
    <mergeCell ref="A20:C20"/>
    <mergeCell ref="D15:F15"/>
    <mergeCell ref="G14:H14"/>
    <mergeCell ref="D5:F5"/>
    <mergeCell ref="D17:F17"/>
    <mergeCell ref="G22:H22"/>
    <mergeCell ref="F35:G35"/>
    <mergeCell ref="F31:G31"/>
    <mergeCell ref="D23:F23"/>
    <mergeCell ref="D7:F7"/>
    <mergeCell ref="A11:C11"/>
    <mergeCell ref="A12:C12"/>
    <mergeCell ref="G10:H10"/>
    <mergeCell ref="I7:K7"/>
    <mergeCell ref="D13:F13"/>
    <mergeCell ref="A22:C22"/>
    <mergeCell ref="I13:K13"/>
    <mergeCell ref="D20:F20"/>
    <mergeCell ref="D25:F25"/>
    <mergeCell ref="G20:H20"/>
    <mergeCell ref="A24:C24"/>
    <mergeCell ref="D9:F9"/>
    <mergeCell ref="D6:F6"/>
    <mergeCell ref="G7:H7"/>
    <mergeCell ref="I10:K10"/>
    <mergeCell ref="I24:K24"/>
    <mergeCell ref="I16:K16"/>
    <mergeCell ref="A8:C8"/>
    <mergeCell ref="A1:K1"/>
    <mergeCell ref="I6:K6"/>
    <mergeCell ref="D8:F8"/>
    <mergeCell ref="G5:H5"/>
    <mergeCell ref="I8:K8"/>
    <mergeCell ref="I9:K9"/>
    <mergeCell ref="G25:H25"/>
    <mergeCell ref="I23:K23"/>
    <mergeCell ref="A27:K27"/>
    <mergeCell ref="A7:C7"/>
    <mergeCell ref="F37:G37"/>
    <mergeCell ref="A10:C10"/>
    <mergeCell ref="I18:K18"/>
    <mergeCell ref="D14:F14"/>
    <mergeCell ref="I4:K4"/>
    <mergeCell ref="G15:H15"/>
    <mergeCell ref="F29:G29"/>
    <mergeCell ref="D10:F10"/>
    <mergeCell ref="F32:G32"/>
    <mergeCell ref="F38:G38"/>
    <mergeCell ref="F36:G36"/>
    <mergeCell ref="F34:G34"/>
    <mergeCell ref="A23:C23"/>
    <mergeCell ref="A9:C9"/>
    <mergeCell ref="I17:K17"/>
    <mergeCell ref="D11:K11"/>
    <mergeCell ref="D4:F4"/>
    <mergeCell ref="G24:H24"/>
    <mergeCell ref="I21:K21"/>
    <mergeCell ref="A15:C15"/>
    <mergeCell ref="A3:K3"/>
    <mergeCell ref="G16:H16"/>
    <mergeCell ref="D18:F18"/>
    <mergeCell ref="F28:G28"/>
    <mergeCell ref="I15:K15"/>
    <mergeCell ref="D22:F22"/>
    <mergeCell ref="A16:C16"/>
    <mergeCell ref="A18:C18"/>
    <mergeCell ref="G9:H9"/>
    <mergeCell ref="G21:H21"/>
    <mergeCell ref="G4:H4"/>
    <mergeCell ref="I14:K14"/>
    <mergeCell ref="F30:G30"/>
    <mergeCell ref="D24:F24"/>
    <mergeCell ref="D19:K19"/>
  </mergeCells>
  <phoneticPr fontId="1" type="noConversion"/>
  <dataValidations count="10">
    <dataValidation type="list" allowBlank="1" showInputMessage="1" showErrorMessage="1" sqref="D25:F25">
      <formula1>"请选择,智驾-采集类,智驾-其他类,金融,泛零售,数据采集,精准营销,其他"</formula1>
    </dataValidation>
    <dataValidation type="list" allowBlank="1" showInputMessage="1" showErrorMessage="1" sqref="D13:F14 I13:K13">
      <formula1>"是 / 否（请选择）,是,否"</formula1>
    </dataValidation>
    <dataValidation type="list" allowBlank="1" showInputMessage="1" showErrorMessage="1" sqref="D6:F6">
      <formula1>"G1 / B2 / G2（请选择）,G1,G2,B2"</formula1>
    </dataValidation>
    <dataValidation type="list" allowBlank="1" sqref="I32 I33 I36 I37 I38 I30:I31 I34:I35">
      <formula1>"绿灯,黄灯,红灯"</formula1>
    </dataValidation>
    <dataValidation type="list" allowBlank="1" showInputMessage="1" showErrorMessage="1" sqref="D17:F17">
      <formula1>"无/内部/外部/均包含,无,SF内部,外部,内外兼有"</formula1>
    </dataValidation>
    <dataValidation type="list" allowBlank="1" showInputMessage="1" showErrorMessage="1" sqref="I25:K25">
      <formula1>"请选择,不低于刊例价,低于刊例价（非渠道客户）,低于刊例价，但符合渠道折扣标准（渠道客户）,低于渠道折扣价（渠道客户）,不涉及标品"</formula1>
    </dataValidation>
    <dataValidation type="list" allowBlank="1" showInputMessage="1" showErrorMessage="1" sqref="D18:F18">
      <formula1>"请选择,银行转账,银行承兑汇票（3个月内到期）,银行承兑汇票（超3个月到期）,商业承兑汇票"</formula1>
    </dataValidation>
    <dataValidation type="list" allowBlank="1" showInputMessage="1" showErrorMessage="1" sqref="I14:K14 I24:K24">
      <formula1>"请选择,纯标品,非标品,标品+非标品"</formula1>
    </dataValidation>
    <dataValidation type="list" allowBlank="1" showInputMessage="1" showErrorMessage="1" sqref="D20:F20">
      <formula1>"请选择,回款+验收=均非背靠背,仅回款背靠背,仅验收背靠背,回款+验收=全部背靠背,已知回款背靠背，验收条款未知,尚未确定"</formula1>
    </dataValidation>
    <dataValidation type="list" allowBlank="1" showInputMessage="1" showErrorMessage="1" sqref="I5:K5">
      <formula1>"请选择,华南营销处,华北营销处-区域,华北营销处-渠道"</formula1>
    </dataValidation>
  </dataValidations>
  <pageMargins left="0.7" right="0.7"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70" zoomScaleNormal="70" showGridLines="0"/>
  </sheetViews>
  <sheetFormatPr baseColWidth="10" defaultColWidth="9" defaultRowHeight="16.5" customHeight="1"/>
  <cols>
    <col min="1" max="1" width="18.3310546875" customWidth="1" style="115"/>
    <col min="2" max="2" width="15.9990234375" customWidth="1" style="115"/>
    <col min="3" max="3" width="17.1650390625" customWidth="1" style="115"/>
    <col min="4" max="4" width="20.33203125" customWidth="1" style="115"/>
    <col min="5" max="5" width="22.998046875" customWidth="1" style="115"/>
    <col min="6" max="6" width="24.1640625" customWidth="1" style="117"/>
    <col min="7" max="7" width="22.166015625" customWidth="1" style="117"/>
    <col min="8" max="8" width="21.9990234375" customWidth="1" style="118"/>
    <col min="9" max="9" width="30.1640625" customWidth="1" style="119"/>
    <col min="10" max="10" width="33" customWidth="1" style="119"/>
    <col min="11" max="11" width="13.166015625" customWidth="1" style="115"/>
    <col min="12" max="12" width="9.6650390625" customWidth="1" style="115"/>
    <col min="13" max="13" width="11.1650390625" customWidth="1" style="115"/>
    <col min="14" max="15" width="6.3310546875" customWidth="1" style="115"/>
    <col min="16" max="40" width="9" style="8"/>
  </cols>
  <sheetData>
    <row r="1" s="115" customFormat="1" ht="50.25" customHeight="1">
      <c r="A1" s="120" t="s">
        <v>134</v>
      </c>
      <c r="B1" s="121"/>
      <c r="C1" s="121"/>
      <c r="D1" s="121"/>
      <c r="E1" s="121"/>
      <c r="F1" s="121"/>
      <c r="G1" s="121"/>
      <c r="H1" s="121"/>
      <c r="I1" s="121"/>
      <c r="J1" s="178"/>
    </row>
    <row r="2" s="115" customFormat="1" ht="25.5" customHeight="1">
      <c r="A2" s="122" t="s">
        <v>135</v>
      </c>
      <c r="B2" s="123" t="s">
        <v>136</v>
      </c>
      <c r="C2" s="124" t="s">
        <v>137</v>
      </c>
      <c r="D2" s="123" t="s">
        <v>3</v>
      </c>
      <c r="E2" s="124" t="s">
        <v>138</v>
      </c>
      <c r="F2" s="123" t="s">
        <v>15</v>
      </c>
      <c r="G2" s="124" t="s">
        <v>16</v>
      </c>
      <c r="H2" s="123" t="s">
        <v>17</v>
      </c>
      <c r="I2" s="124" t="s">
        <v>139</v>
      </c>
      <c r="J2" s="179" t="n">
        <v>1</v>
      </c>
    </row>
    <row r="3" s="115" customFormat="1" ht="25.5" customHeight="1">
      <c r="A3" s="122" t="s">
        <v>140</v>
      </c>
      <c r="B3" s="125" t="s">
        <v>9</v>
      </c>
      <c r="C3" s="124" t="s">
        <v>141</v>
      </c>
      <c r="D3" s="123" t="s">
        <v>13</v>
      </c>
      <c r="E3" s="124" t="s">
        <v>4</v>
      </c>
      <c r="F3" s="123" t="s">
        <v>5</v>
      </c>
      <c r="G3" s="124" t="s">
        <v>142</v>
      </c>
      <c r="H3" s="123" t="s">
        <v>23</v>
      </c>
      <c r="I3" s="124" t="s">
        <v>19</v>
      </c>
      <c r="J3" s="223" t="n">
        <v>46266</v>
      </c>
    </row>
    <row r="4" s="115" customFormat="1" ht="25.5" customHeight="1">
      <c r="A4" s="122" t="s">
        <v>143</v>
      </c>
      <c r="B4" s="126" t="n">
        <v>46266</v>
      </c>
      <c r="C4" s="124" t="s">
        <v>144</v>
      </c>
      <c r="D4" s="126" t="n">
        <v>46631</v>
      </c>
      <c r="E4" s="124" t="s">
        <v>145</v>
      </c>
      <c r="F4" s="123" t="s">
        <v>23</v>
      </c>
      <c r="G4" s="124" t="s">
        <v>146</v>
      </c>
      <c r="H4" s="127" t="s">
        <v>7</v>
      </c>
      <c r="I4" s="124" t="s">
        <v>147</v>
      </c>
      <c r="J4" s="180" t="n">
        <v>1</v>
      </c>
    </row>
    <row r="5" s="115" customFormat="1" ht="37.5" customHeight="1">
      <c r="A5" s="122" t="s">
        <v>148</v>
      </c>
      <c r="B5" s="128" t="s">
        <v>149</v>
      </c>
      <c r="C5" s="129"/>
      <c r="D5" s="124" t="s">
        <v>150</v>
      </c>
      <c r="E5" s="130" t="s">
        <v>151</v>
      </c>
      <c r="F5" s="131" t="s">
        <v>152</v>
      </c>
      <c r="G5" s="131" t="s">
        <v>153</v>
      </c>
      <c r="H5" s="131" t="s">
        <v>154</v>
      </c>
      <c r="I5" s="137" t="s">
        <v>155</v>
      </c>
      <c r="J5" s="181"/>
      <c r="K5" s="182"/>
    </row>
    <row r="6" s="116" customFormat="1" ht="30" customHeight="1">
      <c r="A6" s="132"/>
      <c r="B6" s="133" t="n">
        <v>2058520</v>
      </c>
      <c r="C6" s="134"/>
      <c r="D6" s="133" t="n">
        <f>B6/(1+6%)</f>
        <v>1942000</v>
      </c>
      <c r="E6" s="133" t="n">
        <f>G10</f>
        <v>1799036.92</v>
      </c>
      <c r="F6" s="133" t="n">
        <f>G11</f>
        <v>0</v>
      </c>
      <c r="G6" s="133" t="n">
        <f>D6-(E6+F6)/1.06-B8</f>
        <v>244795.35849057</v>
      </c>
      <c r="H6" s="133" t="n">
        <f>SUM(G19:G28)</f>
        <v>51603</v>
      </c>
      <c r="I6" s="140" t="n">
        <f>'附3-交付成本评估'!CK2</f>
        <v>0</v>
      </c>
      <c r="J6" s="183"/>
    </row>
    <row r="7" s="116" customFormat="1" ht="40.5" customHeight="1">
      <c r="A7" s="122" t="s">
        <v>156</v>
      </c>
      <c r="B7" s="124" t="s">
        <v>157</v>
      </c>
      <c r="C7" s="129"/>
      <c r="D7" s="135" t="s">
        <v>158</v>
      </c>
      <c r="E7" s="131" t="s">
        <v>159</v>
      </c>
      <c r="F7" s="130" t="s">
        <v>160</v>
      </c>
      <c r="G7" s="136" t="s">
        <v>161</v>
      </c>
      <c r="H7" s="137" t="s">
        <v>162</v>
      </c>
      <c r="I7" s="136" t="s">
        <v>163</v>
      </c>
      <c r="J7" s="181" t="s">
        <v>164</v>
      </c>
    </row>
    <row r="8" s="116" customFormat="1" ht="30" customHeight="1">
      <c r="A8" s="132"/>
      <c r="B8" s="138" t="n">
        <f>G12</f>
        <v>0</v>
      </c>
      <c r="C8" s="129"/>
      <c r="D8" s="133" t="n">
        <f>SUM(G13:G17)</f>
        <v>83232.727916</v>
      </c>
      <c r="E8" s="133" t="n">
        <f>G6-D8</f>
        <v>161562.63057457</v>
      </c>
      <c r="F8" s="139" t="n">
        <f>E8/D6</f>
        <v>0.0831939395337642</v>
      </c>
      <c r="G8" s="140" t="n">
        <f>G6-D8-H6-G18</f>
        <v>97519.3080203281</v>
      </c>
      <c r="H8" s="141" t="n">
        <f>G8/D6</f>
        <v>0.050215915561446</v>
      </c>
      <c r="I8" s="184" t="n">
        <f>H6/G6</f>
        <v>0.210800565493515</v>
      </c>
      <c r="J8" s="185" t="n">
        <f>SUM(G13:G18)/G6</f>
        <v>0.390828694874651</v>
      </c>
    </row>
    <row r="9" s="115" customFormat="1" ht="32" customHeight="1">
      <c r="A9" s="142" t="s">
        <v>66</v>
      </c>
      <c r="B9" s="143" t="s">
        <v>165</v>
      </c>
      <c r="C9" s="143"/>
      <c r="D9" s="143" t="s">
        <v>166</v>
      </c>
      <c r="E9" s="143" t="s">
        <v>167</v>
      </c>
      <c r="F9" s="129"/>
      <c r="G9" s="144" t="s">
        <v>168</v>
      </c>
      <c r="H9" s="145" t="s">
        <v>169</v>
      </c>
      <c r="I9" s="186" t="s">
        <v>170</v>
      </c>
      <c r="J9" s="187"/>
      <c r="K9" s="182"/>
    </row>
    <row r="10" s="115" customFormat="1" ht="314.25" customHeight="1">
      <c r="A10" s="146" t="n">
        <v>1</v>
      </c>
      <c r="B10" s="147" t="s">
        <v>171</v>
      </c>
      <c r="C10" s="129"/>
      <c r="D10" s="148" t="s">
        <v>23</v>
      </c>
      <c r="E10" s="271" t="s">
        <v>172</v>
      </c>
      <c r="F10" s="129"/>
      <c r="G10" s="150" t="n">
        <v>1799036.92</v>
      </c>
      <c r="H10" s="151" t="n">
        <f>G10/1.06/$D$6</f>
        <v>0.873946777296308</v>
      </c>
      <c r="I10" s="272" t="s">
        <v>173</v>
      </c>
      <c r="J10" s="188"/>
    </row>
    <row r="11" s="115" customFormat="1" ht="43" customHeight="1">
      <c r="A11" s="152"/>
      <c r="B11" s="153" t="s">
        <v>152</v>
      </c>
      <c r="C11" s="154"/>
      <c r="D11" s="155" t="s">
        <v>23</v>
      </c>
      <c r="E11" s="156" t="s">
        <v>174</v>
      </c>
      <c r="F11" s="154"/>
      <c r="G11" s="157" t="n">
        <f>'附3-交付成本评估'!BF2+'附3-交付成本评估'!BL2+'附3-交付成本评估'!CB2+'附3-交付成本评估'!CH2</f>
        <v>0</v>
      </c>
      <c r="H11" s="158" t="n">
        <f>G11/$D$6</f>
        <v>0</v>
      </c>
      <c r="I11" s="189" t="s">
        <v>175</v>
      </c>
      <c r="J11" s="190"/>
    </row>
    <row r="12" s="115" customFormat="1" ht="40.5" customHeight="1">
      <c r="A12" s="159"/>
      <c r="B12" s="153" t="s">
        <v>157</v>
      </c>
      <c r="C12" s="154"/>
      <c r="D12" s="155" t="s">
        <v>23</v>
      </c>
      <c r="E12" s="156" t="s">
        <v>176</v>
      </c>
      <c r="F12" s="154"/>
      <c r="G12" s="157" t="n">
        <v>0</v>
      </c>
      <c r="H12" s="158" t="n">
        <f>G12/$D$6</f>
        <v>0</v>
      </c>
      <c r="I12" s="191" t="s">
        <v>177</v>
      </c>
      <c r="J12" s="190"/>
    </row>
    <row r="13" s="115" customFormat="1" ht="68.25" customHeight="1">
      <c r="A13" s="160" t="n">
        <v>2</v>
      </c>
      <c r="B13" s="161" t="s">
        <v>178</v>
      </c>
      <c r="C13" s="147" t="s">
        <v>179</v>
      </c>
      <c r="D13" s="148" t="s">
        <v>180</v>
      </c>
      <c r="E13" s="149" t="s">
        <v>181</v>
      </c>
      <c r="F13" s="129"/>
      <c r="G13" s="150" t="n">
        <f>(B6-E6)/10000*1727</f>
        <v>44812.727916</v>
      </c>
      <c r="H13" s="151" t="n">
        <f>G13/$D$6</f>
        <v>0.0230755550545829</v>
      </c>
      <c r="I13" s="192" t="s">
        <v>182</v>
      </c>
      <c r="J13" s="193"/>
    </row>
    <row r="14" s="115" customFormat="1" ht="39" customHeight="1">
      <c r="A14" s="132"/>
      <c r="B14" s="129"/>
      <c r="C14" s="147" t="s">
        <v>183</v>
      </c>
      <c r="D14" s="148" t="s">
        <v>184</v>
      </c>
      <c r="E14" s="149" t="s">
        <v>185</v>
      </c>
      <c r="F14" s="129"/>
      <c r="G14" s="150" t="n">
        <v>12000</v>
      </c>
      <c r="H14" s="151" t="n">
        <f>G14/$D$6</f>
        <v>0.00617919670442842</v>
      </c>
      <c r="I14" s="194"/>
      <c r="J14" s="187"/>
    </row>
    <row r="15" s="115" customFormat="1" ht="39" customHeight="1">
      <c r="A15" s="132"/>
      <c r="B15" s="129"/>
      <c r="C15" s="129"/>
      <c r="D15" s="162" t="s">
        <v>186</v>
      </c>
      <c r="E15" s="149" t="s">
        <v>187</v>
      </c>
      <c r="F15" s="129"/>
      <c r="G15" s="150" t="n">
        <v>7000</v>
      </c>
      <c r="H15" s="151" t="n">
        <f>G15/$D$6</f>
        <v>0.00360453141091658</v>
      </c>
      <c r="I15" s="194"/>
      <c r="J15" s="187"/>
    </row>
    <row r="16" s="115" customFormat="1" ht="39" customHeight="1">
      <c r="A16" s="160"/>
      <c r="B16" s="161"/>
      <c r="C16" s="147"/>
      <c r="D16" s="162" t="s">
        <v>188</v>
      </c>
      <c r="E16" s="149" t="s">
        <v>189</v>
      </c>
      <c r="F16" s="129"/>
      <c r="G16" s="150"/>
      <c r="H16" s="151" t="n">
        <f>G16/$D$6</f>
        <v>0</v>
      </c>
      <c r="I16" s="194"/>
      <c r="J16" s="187"/>
    </row>
    <row r="17" s="115" customFormat="1" ht="39" customHeight="1">
      <c r="A17" s="160"/>
      <c r="B17" s="161"/>
      <c r="C17" s="147"/>
      <c r="D17" s="162" t="s">
        <v>190</v>
      </c>
      <c r="E17" s="163" t="s">
        <v>191</v>
      </c>
      <c r="F17" s="129"/>
      <c r="G17" s="150" t="n">
        <f>D6*1%</f>
        <v>19420</v>
      </c>
      <c r="H17" s="151" t="n">
        <f>G17/$D$6</f>
        <v>0.01</v>
      </c>
      <c r="I17" s="194"/>
      <c r="J17" s="187"/>
    </row>
    <row r="18" s="115" customFormat="1" ht="45.75" customHeight="1">
      <c r="A18" s="132"/>
      <c r="B18" s="129"/>
      <c r="C18" s="129"/>
      <c r="D18" s="164" t="s">
        <v>192</v>
      </c>
      <c r="E18" s="165" t="s">
        <v>193</v>
      </c>
      <c r="F18" s="226"/>
      <c r="G18" s="166" t="n">
        <f>E8*7.7%</f>
        <v>12440.3225542419</v>
      </c>
      <c r="H18" s="167" t="n">
        <f>G18/$D$6</f>
        <v>0.00640593334409985</v>
      </c>
      <c r="I18" s="195" t="s">
        <v>194</v>
      </c>
      <c r="J18" s="187"/>
    </row>
    <row r="19" s="115" customFormat="1" ht="63.75" customHeight="1">
      <c r="A19" s="160" t="n">
        <v>3</v>
      </c>
      <c r="B19" s="147" t="s">
        <v>195</v>
      </c>
      <c r="C19" s="147" t="s">
        <v>179</v>
      </c>
      <c r="D19" s="148" t="s">
        <v>180</v>
      </c>
      <c r="E19" s="149" t="s">
        <v>196</v>
      </c>
      <c r="F19" s="129"/>
      <c r="G19" s="150" t="n">
        <f>'附3-交付成本评估'!P2+'附3-交付成本评估'!BW2</f>
        <v>23744</v>
      </c>
      <c r="H19" s="151" t="n">
        <f>G19/$D$6</f>
        <v>0.012226570545829</v>
      </c>
      <c r="I19" s="222" t="s">
        <v>197</v>
      </c>
      <c r="J19" s="224"/>
    </row>
    <row r="20" s="115" customFormat="1" ht="61.5" customHeight="1">
      <c r="A20" s="132"/>
      <c r="B20" s="129"/>
      <c r="C20" s="168"/>
      <c r="D20" s="148" t="s">
        <v>198</v>
      </c>
      <c r="E20" s="149" t="s">
        <v>199</v>
      </c>
      <c r="F20" s="226"/>
      <c r="G20" s="150" t="n">
        <f>'附3-交付成本评估'!Q2+'附3-交付成本评估'!BX2</f>
        <v>4975</v>
      </c>
      <c r="H20" s="151" t="n">
        <f>G20/$D$6</f>
        <v>0.00256179196704428</v>
      </c>
      <c r="I20" s="222" t="s">
        <v>200</v>
      </c>
      <c r="J20" s="224"/>
    </row>
    <row r="21" s="115" customFormat="1" ht="41.25" customHeight="1">
      <c r="A21" s="132"/>
      <c r="B21" s="129"/>
      <c r="C21" s="153" t="s">
        <v>201</v>
      </c>
      <c r="D21" s="155" t="s">
        <v>202</v>
      </c>
      <c r="E21" s="156" t="s">
        <v>203</v>
      </c>
      <c r="F21" s="154"/>
      <c r="G21" s="157" t="n">
        <f>'附3-交付成本评估'!BD2+'附3-交付成本评估'!BK2+'附3-交付成本评估'!BZ2+'附3-交付成本评估'!CG2</f>
        <v>9600</v>
      </c>
      <c r="H21" s="158" t="n">
        <f>G21/$D$6</f>
        <v>0.00494335736354274</v>
      </c>
      <c r="I21" s="189" t="s">
        <v>204</v>
      </c>
      <c r="J21" s="190"/>
    </row>
    <row r="22" s="115" customFormat="1" ht="41.25" customHeight="1">
      <c r="A22" s="132"/>
      <c r="B22" s="129"/>
      <c r="C22" s="147" t="s">
        <v>205</v>
      </c>
      <c r="D22" s="148" t="s">
        <v>184</v>
      </c>
      <c r="E22" s="149" t="s">
        <v>206</v>
      </c>
      <c r="F22" s="129"/>
      <c r="G22" s="150" t="n">
        <f>'附3-交付成本评估'!BJ2+'附3-交付成本评估'!CF2</f>
        <v>0</v>
      </c>
      <c r="H22" s="151" t="n">
        <f>G22/$D$6</f>
        <v>0</v>
      </c>
      <c r="I22" s="194"/>
      <c r="J22" s="187"/>
    </row>
    <row r="23" s="115" customFormat="1" ht="35" customHeight="1">
      <c r="A23" s="132"/>
      <c r="B23" s="129"/>
      <c r="C23" s="147" t="s">
        <v>207</v>
      </c>
      <c r="D23" s="169" t="s">
        <v>180</v>
      </c>
      <c r="E23" s="149" t="s">
        <v>208</v>
      </c>
      <c r="F23" s="129"/>
      <c r="G23" s="150" t="n">
        <f>'附3-交付成本评估'!X2+'附3-交付成本评估'!BT2</f>
        <v>6784</v>
      </c>
      <c r="H23" s="151" t="n">
        <f>G23/$D$6</f>
        <v>0.00349330587023687</v>
      </c>
      <c r="I23" s="194"/>
      <c r="J23" s="187"/>
    </row>
    <row r="24" s="115" customFormat="1" ht="35.25" customHeight="1">
      <c r="A24" s="132"/>
      <c r="B24" s="129"/>
      <c r="C24" s="129"/>
      <c r="D24" s="169" t="s">
        <v>209</v>
      </c>
      <c r="E24" s="149" t="s">
        <v>209</v>
      </c>
      <c r="F24" s="129"/>
      <c r="G24" s="150" t="n">
        <f>'附3-交付成本评估'!BH2+'附3-交付成本评估'!CD2</f>
        <v>2000</v>
      </c>
      <c r="H24" s="151" t="n">
        <f>G24/$D$6</f>
        <v>0.00102986611740474</v>
      </c>
      <c r="I24" s="194"/>
      <c r="J24" s="187"/>
    </row>
    <row r="25" s="115" customFormat="1" ht="32.25" customHeight="1">
      <c r="A25" s="132"/>
      <c r="B25" s="129"/>
      <c r="C25" s="129"/>
      <c r="D25" s="169" t="s">
        <v>186</v>
      </c>
      <c r="E25" s="149" t="s">
        <v>210</v>
      </c>
      <c r="F25" s="129"/>
      <c r="G25" s="150" t="n">
        <f>'附3-交付成本评估'!BI2+'附3-交付成本评估'!CE2</f>
        <v>0</v>
      </c>
      <c r="H25" s="151" t="n">
        <f>G25/$D$6</f>
        <v>0</v>
      </c>
      <c r="I25" s="194"/>
      <c r="J25" s="187"/>
    </row>
    <row r="26" s="115" customFormat="1" ht="32.25" customHeight="1">
      <c r="A26" s="132"/>
      <c r="B26" s="129"/>
      <c r="C26" s="129"/>
      <c r="D26" s="148" t="s">
        <v>211</v>
      </c>
      <c r="E26" s="149" t="s">
        <v>212</v>
      </c>
      <c r="F26" s="129"/>
      <c r="G26" s="150"/>
      <c r="H26" s="151" t="n">
        <f>G26/$D$6</f>
        <v>0</v>
      </c>
      <c r="I26" s="194"/>
      <c r="J26" s="187"/>
    </row>
    <row r="27" s="115" customFormat="1" ht="60" customHeight="1">
      <c r="A27" s="132"/>
      <c r="B27" s="129"/>
      <c r="C27" s="129"/>
      <c r="D27" s="148" t="s">
        <v>213</v>
      </c>
      <c r="E27" s="149" t="s">
        <v>214</v>
      </c>
      <c r="F27" s="129"/>
      <c r="G27" s="150" t="n">
        <v>4500</v>
      </c>
      <c r="H27" s="151" t="n">
        <f>G27/$D$6</f>
        <v>0.00231719876416066</v>
      </c>
      <c r="I27" s="273" t="s">
        <v>215</v>
      </c>
      <c r="J27" s="187"/>
    </row>
    <row r="28" s="115" customFormat="1" ht="32" customHeight="1">
      <c r="A28" s="132"/>
      <c r="B28" s="129"/>
      <c r="C28" s="129"/>
      <c r="D28" s="148" t="s">
        <v>216</v>
      </c>
      <c r="E28" s="163" t="s">
        <v>217</v>
      </c>
      <c r="F28" s="129"/>
      <c r="G28" s="150"/>
      <c r="H28" s="151" t="n">
        <f>G28/$D$6</f>
        <v>0</v>
      </c>
      <c r="I28" s="194"/>
      <c r="J28" s="187"/>
    </row>
    <row r="29" s="115" customFormat="1" ht="27.95" customHeight="1">
      <c r="A29" s="170" t="s">
        <v>218</v>
      </c>
      <c r="B29" s="171" t="s">
        <v>17</v>
      </c>
      <c r="C29" s="172"/>
      <c r="D29" s="173"/>
      <c r="E29" s="174" t="s">
        <v>219</v>
      </c>
      <c r="F29" s="172"/>
      <c r="G29" s="175" t="s">
        <v>220</v>
      </c>
      <c r="H29" s="176"/>
      <c r="I29" s="176"/>
      <c r="J29" s="196"/>
    </row>
    <row r="30" s="115" customFormat="1" ht="52.5" customHeight="1">
      <c r="A30" s="177" t="s">
        <v>221</v>
      </c>
      <c r="B30" s="172"/>
      <c r="C30" s="172"/>
      <c r="D30" s="172"/>
      <c r="E30" s="172"/>
      <c r="F30" s="172"/>
      <c r="G30" s="172"/>
      <c r="H30" s="172"/>
      <c r="I30" s="172"/>
      <c r="J30" s="197"/>
    </row>
  </sheetData>
  <mergeCells count="62">
    <mergeCell ref="E18:F18"/>
    <mergeCell ref="E20:F20"/>
    <mergeCell ref="E12:F12"/>
    <mergeCell ref="I9:J9"/>
    <mergeCell ref="E21:F21"/>
    <mergeCell ref="B12:C12"/>
    <mergeCell ref="E26:F26"/>
    <mergeCell ref="I21:J21"/>
    <mergeCell ref="A7:A8"/>
    <mergeCell ref="A1:J1"/>
    <mergeCell ref="B7:C7"/>
    <mergeCell ref="I13:J13"/>
    <mergeCell ref="C23:C28"/>
    <mergeCell ref="B19:B28"/>
    <mergeCell ref="C19:C20"/>
    <mergeCell ref="B10:C10"/>
    <mergeCell ref="E17:F17"/>
    <mergeCell ref="A10:A12"/>
    <mergeCell ref="B6:C6"/>
    <mergeCell ref="I14:J14"/>
    <mergeCell ref="I23:J23"/>
    <mergeCell ref="A30:J30"/>
    <mergeCell ref="I15:J15"/>
    <mergeCell ref="B11:C11"/>
    <mergeCell ref="E10:F10"/>
    <mergeCell ref="I24:J24"/>
    <mergeCell ref="E15:F15"/>
    <mergeCell ref="E27:F27"/>
    <mergeCell ref="B8:C8"/>
    <mergeCell ref="I18:J18"/>
    <mergeCell ref="E29:F29"/>
    <mergeCell ref="A5:A6"/>
    <mergeCell ref="E9:F9"/>
    <mergeCell ref="E16:F16"/>
    <mergeCell ref="B13:B18"/>
    <mergeCell ref="I19:J19"/>
    <mergeCell ref="E22:F22"/>
    <mergeCell ref="C14:C18"/>
    <mergeCell ref="E14:F14"/>
    <mergeCell ref="E25:F25"/>
    <mergeCell ref="I17:J17"/>
    <mergeCell ref="B9:C9"/>
    <mergeCell ref="A19:A28"/>
    <mergeCell ref="E11:F11"/>
    <mergeCell ref="I16:J16"/>
    <mergeCell ref="E13:F13"/>
    <mergeCell ref="A13:A18"/>
    <mergeCell ref="B29:D29"/>
    <mergeCell ref="I28:J28"/>
    <mergeCell ref="I27:J27"/>
    <mergeCell ref="I25:J25"/>
    <mergeCell ref="E28:F28"/>
    <mergeCell ref="E24:F24"/>
    <mergeCell ref="B5:C5"/>
    <mergeCell ref="I22:J22"/>
    <mergeCell ref="E23:F23"/>
    <mergeCell ref="I12:J12"/>
    <mergeCell ref="E19:F19"/>
    <mergeCell ref="I11:J11"/>
    <mergeCell ref="I10:J10"/>
    <mergeCell ref="I20:J20"/>
    <mergeCell ref="I26:J26"/>
  </mergeCells>
  <phoneticPr fontId="1" type="noConversion"/>
  <dataValidations count="3">
    <dataValidation type="list" allowBlank="1" showInputMessage="1" showErrorMessage="1" prompt="㧐禵_x0002_" sqref="B3">
      <formula1>"华南营销处,华北营销处"</formula1>
    </dataValidation>
    <dataValidation type="list" allowBlank="1" showInputMessage="1" showErrorMessage="1" prompt="㧐禵_x0002_" sqref="H4">
      <formula1>"提前投入,投标决策,合同交付,项目运维"</formula1>
    </dataValidation>
    <dataValidation type="list" allowBlank="1" showInputMessage="1" showErrorMessage="1" prompt="㧐禵_x0002_" sqref="J4">
      <formula1>"/,0.7,1,1.3"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70" zoomScaleNormal="70">
      <pane topLeftCell="A5" activePane="bottomRight" state="frozen" ySplit="4"/>
    </sheetView>
  </sheetViews>
  <sheetFormatPr baseColWidth="10" defaultColWidth="8.8330078125" defaultRowHeight="14.497499999999997" customHeight="1"/>
  <cols>
    <col min="1" max="1" width="4.998046875" customWidth="1" style="6"/>
    <col min="2" max="2" width="12.9990234375" customWidth="1" style="6"/>
    <col min="3" max="3" width="14.1650390625" customWidth="1" style="6"/>
    <col min="4" max="4" width="15.83203125" customWidth="1" style="6"/>
    <col min="5" max="5" width="9.3310546875" customWidth="1" style="6"/>
    <col min="6" max="6" width="7.6640625" customWidth="1" style="6"/>
    <col min="7" max="7" width="21.3310546875" customWidth="1" style="6"/>
    <col min="8" max="8" width="7.6640625" customWidth="1" style="6"/>
    <col min="9" max="9" width="13.6640625" customWidth="1" style="7"/>
    <col min="10" max="10" width="12.9990234375" customWidth="1" style="7"/>
    <col min="11" max="11" width="9.1640625" customWidth="1" style="7"/>
    <col min="12" max="12" width="10.166015625" customWidth="1" style="7"/>
    <col min="13" max="13" width="11.666015625" customWidth="1" style="7"/>
    <col min="14" max="14" width="14.33203125" customWidth="1" style="7"/>
    <col min="15" max="18" width="13.998046875" customWidth="1" style="7"/>
    <col min="19" max="22" width="12.498046875" customWidth="1" style="7"/>
    <col min="23" max="23" width="8.1650390625" customWidth="1" style="7"/>
    <col min="24" max="24" width="12.9990234375" customWidth="1" style="7"/>
    <col min="25" max="40" width="8.1650390625" customWidth="1" style="7"/>
    <col min="41" max="44" width="9.6650390625" customWidth="1" style="7"/>
    <col min="45" max="46" width="8.1650390625" customWidth="1" style="7"/>
    <col min="47" max="47" width="13.3330078125" customWidth="1" style="7"/>
    <col min="48" max="48" width="15.83203125" customWidth="1" style="7"/>
    <col min="49" max="52" width="8.1650390625" customWidth="1" style="7"/>
    <col min="53" max="53" width="10.998046875" customWidth="1" style="7"/>
    <col min="54" max="54" width="8.1650390625" customWidth="1" style="7"/>
    <col min="55" max="58" width="8.8330078125" customWidth="1" style="7"/>
    <col min="59" max="59" width="16.3330078125" customWidth="1" style="6"/>
    <col min="60" max="60" width="17.8330078125" customWidth="1" style="6"/>
    <col min="61" max="61" width="15.83203125" customWidth="1" style="6"/>
    <col min="62" max="62" width="15.9990234375" customWidth="1" style="6"/>
    <col min="63" max="63" width="14.4990234375" customWidth="1" style="6"/>
    <col min="64" max="64" width="15.1640625" customWidth="1" style="6"/>
    <col min="65" max="65" width="15.498046875" customWidth="1" style="6"/>
    <col min="66" max="66" width="11.4990234375" customWidth="1" style="7"/>
    <col min="67" max="67" width="8.8330078125" customWidth="1" style="7"/>
    <col min="68" max="68" width="10.5" customWidth="1" style="7"/>
    <col min="69" max="69" width="12.83203125" customWidth="1" style="7"/>
    <col min="70" max="70" width="19.5" customWidth="1" style="7"/>
    <col min="71" max="72" width="10.166015625" customWidth="1" style="7"/>
    <col min="73" max="76" width="8.8330078125" customWidth="1" style="7"/>
    <col min="77" max="78" width="8.666015625" customWidth="1" style="7"/>
    <col min="79" max="80" width="10.166015625" customWidth="1" style="7"/>
    <col min="81" max="81" width="14.666015625" customWidth="1" style="6"/>
    <col min="82" max="82" width="19.3330078125" customWidth="1" style="6"/>
    <col min="83" max="83" width="14.1650390625" customWidth="1" style="6"/>
    <col min="84" max="84" width="15.9990234375" customWidth="1" style="6"/>
    <col min="85" max="85" width="14.666015625" customWidth="1" style="6"/>
    <col min="86" max="86" width="14.8330078125" customWidth="1" style="6"/>
    <col min="87" max="87" width="31.998046875" customWidth="1" style="6"/>
    <col min="88" max="88" width="9.1640625" customWidth="1" style="6"/>
    <col min="89" max="89" width="10.5" customWidth="1" style="6"/>
    <col min="90" max="90" width="14.8330078125" customWidth="1" style="6"/>
  </cols>
  <sheetData>
    <row r="1" ht="50" customHeight="1">
      <c r="A1" s="9" t="s">
        <v>222</v>
      </c>
      <c r="B1" s="10"/>
      <c r="C1" s="10"/>
      <c r="D1" s="10"/>
      <c r="E1" s="10"/>
      <c r="F1" s="10"/>
      <c r="G1" s="10"/>
      <c r="H1" s="10"/>
      <c r="I1" s="37"/>
      <c r="J1" s="9"/>
      <c r="K1" s="9"/>
      <c r="L1" s="9"/>
      <c r="M1" s="9"/>
      <c r="N1" s="38"/>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row>
    <row r="2" s="8" customFormat="1" ht="35.25" customHeight="1">
      <c r="A2" s="11" t="s">
        <v>223</v>
      </c>
      <c r="B2" s="12"/>
      <c r="C2" s="13"/>
      <c r="D2" s="12"/>
      <c r="E2" s="12"/>
      <c r="F2" s="14"/>
      <c r="G2" s="12"/>
      <c r="H2" s="12"/>
      <c r="I2" s="39"/>
      <c r="J2" s="40" t="n">
        <f>SUM(J5:J14)</f>
        <v>0</v>
      </c>
      <c r="K2" s="40" t="n">
        <f>SUM(K5:K14)</f>
        <v>0</v>
      </c>
      <c r="L2" s="40" t="n">
        <f>SUM(L5:L14)</f>
        <v>0</v>
      </c>
      <c r="M2" s="40" t="n">
        <f>SUM(M5:M14)</f>
        <v>0</v>
      </c>
      <c r="N2" s="40" t="n">
        <f>SUM(N5:N14)</f>
        <v>45103</v>
      </c>
      <c r="O2" s="40" t="n">
        <f>SUM(O5:O14)</f>
        <v>6784</v>
      </c>
      <c r="P2" s="40" t="n">
        <f>SUM(P5:P14)</f>
        <v>23744</v>
      </c>
      <c r="Q2" s="40" t="n">
        <f>SUM(Q5:Q14)</f>
        <v>4975</v>
      </c>
      <c r="R2" s="40" t="n">
        <f>SUM(R5:R14)</f>
        <v>9600</v>
      </c>
      <c r="S2" s="40" t="n">
        <f>SUM(S5:S14)</f>
        <v>4</v>
      </c>
      <c r="T2" s="40" t="n">
        <f>SUM(T5:T14)</f>
        <v>14</v>
      </c>
      <c r="U2" s="40" t="n">
        <f>SUM(U5:U14)</f>
        <v>5</v>
      </c>
      <c r="V2" s="40" t="n">
        <f>SUM(V5:V14)</f>
        <v>30</v>
      </c>
      <c r="W2" s="53" t="n">
        <f>SUM(W5:W14)</f>
        <v>4</v>
      </c>
      <c r="X2" s="53" t="n">
        <f>SUM(X5:X14)</f>
        <v>6784</v>
      </c>
      <c r="Y2" s="60" t="n">
        <f>SUM(Y5:Y14)</f>
        <v>0</v>
      </c>
      <c r="Z2" s="60" t="n">
        <f>SUM(Z5:Z14)</f>
        <v>0</v>
      </c>
      <c r="AA2" s="60" t="n">
        <f>SUM(AA5:AA14)</f>
        <v>0</v>
      </c>
      <c r="AB2" s="60" t="n">
        <f>SUM(AB5:AB14)</f>
        <v>0</v>
      </c>
      <c r="AC2" s="60" t="n">
        <f>SUM(AC5:AC14)</f>
        <v>0</v>
      </c>
      <c r="AD2" s="60" t="n">
        <f>SUM(AD5:AD14)</f>
        <v>0</v>
      </c>
      <c r="AE2" s="60" t="n">
        <f>SUM(AE5:AE14)</f>
        <v>0</v>
      </c>
      <c r="AF2" s="60" t="n">
        <f>SUM(AF5:AF14)</f>
        <v>0</v>
      </c>
      <c r="AG2" s="60" t="n">
        <f>SUM(AG5:AG14)</f>
        <v>0</v>
      </c>
      <c r="AH2" s="60" t="n">
        <f>SUM(AH5:AH14)</f>
        <v>0</v>
      </c>
      <c r="AI2" s="60" t="n">
        <f>SUM(AI5:AI14)</f>
        <v>0</v>
      </c>
      <c r="AJ2" s="60" t="n">
        <f>SUM(AJ5:AJ14)</f>
        <v>0</v>
      </c>
      <c r="AK2" s="60" t="n">
        <f>SUM(AK5:AK14)</f>
        <v>0</v>
      </c>
      <c r="AL2" s="60" t="n">
        <f>SUM(AL5:AL14)</f>
        <v>0</v>
      </c>
      <c r="AM2" s="60" t="n">
        <f>SUM(AM5:AM14)</f>
        <v>0</v>
      </c>
      <c r="AN2" s="60" t="n">
        <f>SUM(AN5:AN14)</f>
        <v>0</v>
      </c>
      <c r="AO2" s="60" t="n">
        <f>SUM(AO5:AO14)</f>
        <v>0</v>
      </c>
      <c r="AP2" s="60" t="n">
        <f>SUM(AP5:AP14)</f>
        <v>0</v>
      </c>
      <c r="AQ2" s="60" t="n">
        <f>SUM(AQ5:AQ14)</f>
        <v>0</v>
      </c>
      <c r="AR2" s="60" t="n">
        <f>SUM(AR5:AR14)</f>
        <v>0</v>
      </c>
      <c r="AS2" s="60" t="n">
        <f>SUM(AS5:AS14)</f>
        <v>12</v>
      </c>
      <c r="AT2" s="60" t="n">
        <f>SUM(AT5:AT14)</f>
        <v>5</v>
      </c>
      <c r="AU2" s="60" t="n">
        <f>SUM(AU5:AU14)</f>
        <v>20352</v>
      </c>
      <c r="AV2" s="60" t="n">
        <f>SUM(AV5:AV14)</f>
        <v>4975</v>
      </c>
      <c r="AW2" s="60" t="n">
        <f>SUM(AW5:AW14)</f>
        <v>0</v>
      </c>
      <c r="AX2" s="60" t="n">
        <f>SUM(AX5:AX14)</f>
        <v>0</v>
      </c>
      <c r="AY2" s="60" t="n">
        <f>SUM(AY5:AY14)</f>
        <v>2</v>
      </c>
      <c r="AZ2" s="60" t="n">
        <f>SUM(AZ5:AZ14)</f>
        <v>0</v>
      </c>
      <c r="BA2" s="60" t="n">
        <f>SUM(BA5:BA14)</f>
        <v>3392</v>
      </c>
      <c r="BB2" s="60" t="n">
        <f>SUM(BB5:BB14)</f>
        <v>0</v>
      </c>
      <c r="BC2" s="60" t="n">
        <f>SUM(BC5:BC14)</f>
        <v>30</v>
      </c>
      <c r="BD2" s="60" t="n">
        <f>SUM(BD5:BD14)</f>
        <v>9600</v>
      </c>
      <c r="BE2" s="60" t="n">
        <f>SUM(BE5:BE14)</f>
        <v>0</v>
      </c>
      <c r="BF2" s="60" t="n">
        <f>SUM(BF5:BF14)</f>
        <v>0</v>
      </c>
      <c r="BG2" s="78" t="n">
        <f>SUM(BG5:BG14)</f>
        <v>2000</v>
      </c>
      <c r="BH2" s="53" t="n">
        <f>SUM(BH5:BH14)</f>
        <v>2000</v>
      </c>
      <c r="BI2" s="53" t="n">
        <f>SUM(BI5:BI14)</f>
        <v>0</v>
      </c>
      <c r="BJ2" s="53" t="n">
        <f>SUM(BJ5:BJ14)</f>
        <v>0</v>
      </c>
      <c r="BK2" s="53" t="n">
        <f>SUM(BK5:BK14)</f>
        <v>0</v>
      </c>
      <c r="BL2" s="53" t="n">
        <f>SUM(BL5:BL14)</f>
        <v>0</v>
      </c>
      <c r="BM2" s="84"/>
      <c r="BN2" s="40" t="n">
        <f>SUM(BN5:BN14)</f>
        <v>0</v>
      </c>
      <c r="BO2" s="40" t="n">
        <f>SUM(BO5:BO14)</f>
        <v>0</v>
      </c>
      <c r="BP2" s="40" t="n">
        <f>SUM(BP5:BP14)</f>
        <v>0</v>
      </c>
      <c r="BQ2" s="40" t="n">
        <f>SUM(BQ5:BQ14)</f>
        <v>0</v>
      </c>
      <c r="BR2" s="78" t="n">
        <f>SUM(BR5:BR14)</f>
        <v>0</v>
      </c>
      <c r="BS2" s="53" t="n">
        <f>SUM(BS5:BS14)</f>
        <v>0</v>
      </c>
      <c r="BT2" s="53" t="n">
        <f>SUM(BT5:BT14)</f>
        <v>0</v>
      </c>
      <c r="BU2" s="53" t="n">
        <f>SUM(BU5:BU14)</f>
        <v>0</v>
      </c>
      <c r="BV2" s="53" t="n">
        <f>SUM(BV5:BV14)</f>
        <v>0</v>
      </c>
      <c r="BW2" s="53" t="n">
        <f>SUM(BW5:BW14)</f>
        <v>0</v>
      </c>
      <c r="BX2" s="53" t="n">
        <f>SUM(BX5:BX14)</f>
        <v>0</v>
      </c>
      <c r="BY2" s="53" t="n">
        <f>SUM(BY5:BY14)</f>
        <v>0</v>
      </c>
      <c r="BZ2" s="53" t="n">
        <f>SUM(BZ5:BZ14)</f>
        <v>0</v>
      </c>
      <c r="CA2" s="53" t="n">
        <f>SUM(CA5:CA14)</f>
        <v>0</v>
      </c>
      <c r="CB2" s="53" t="n">
        <f>SUM(CB5:CB14)</f>
        <v>0</v>
      </c>
      <c r="CC2" s="78" t="n">
        <f>SUM(CC5:CC14)</f>
        <v>0</v>
      </c>
      <c r="CD2" s="53" t="n">
        <f>SUM(CD5:CD14)</f>
        <v>0</v>
      </c>
      <c r="CE2" s="53" t="n">
        <f>SUM(CE5:CE14)</f>
        <v>0</v>
      </c>
      <c r="CF2" s="53" t="n">
        <f>SUM(CF5:CF14)</f>
        <v>0</v>
      </c>
      <c r="CG2" s="53" t="n">
        <f>SUM(CG5:CG14)</f>
        <v>0</v>
      </c>
      <c r="CH2" s="53" t="n">
        <f>SUM(CH5:CH14)</f>
        <v>0</v>
      </c>
      <c r="CI2" s="39"/>
      <c r="CJ2" s="78" t="n">
        <f>SUM(CJ5:CJ14)</f>
        <v>0</v>
      </c>
      <c r="CK2" s="78" t="n">
        <f>SUM(CK5:CK14)</f>
        <v>0</v>
      </c>
      <c r="CL2" s="112"/>
    </row>
    <row r="3" ht="45" customHeight="1">
      <c r="A3" s="15" t="s">
        <v>66</v>
      </c>
      <c r="B3" s="16" t="s">
        <v>224</v>
      </c>
      <c r="C3" s="17"/>
      <c r="D3" s="18"/>
      <c r="E3" s="18"/>
      <c r="F3" s="18"/>
      <c r="G3" s="18"/>
      <c r="H3" s="18"/>
      <c r="I3" s="41" t="s">
        <v>225</v>
      </c>
      <c r="J3" s="42" t="s">
        <v>226</v>
      </c>
      <c r="K3" s="43"/>
      <c r="L3" s="43"/>
      <c r="M3" s="44"/>
      <c r="N3" s="42" t="s">
        <v>227</v>
      </c>
      <c r="O3" s="44"/>
      <c r="P3" s="44"/>
      <c r="Q3" s="44"/>
      <c r="R3" s="44"/>
      <c r="S3" s="43"/>
      <c r="T3" s="44"/>
      <c r="U3" s="44"/>
      <c r="V3" s="54"/>
      <c r="W3" s="55" t="s">
        <v>228</v>
      </c>
      <c r="X3" s="56"/>
      <c r="Y3" s="61" t="s">
        <v>229</v>
      </c>
      <c r="Z3" s="18"/>
      <c r="AA3" s="62"/>
      <c r="AB3" s="18"/>
      <c r="AC3" s="61" t="s">
        <v>230</v>
      </c>
      <c r="AD3" s="18"/>
      <c r="AE3" s="62"/>
      <c r="AF3" s="18"/>
      <c r="AG3" s="66" t="s">
        <v>231</v>
      </c>
      <c r="AH3" s="18"/>
      <c r="AI3" s="67"/>
      <c r="AJ3" s="18"/>
      <c r="AK3" s="66" t="s">
        <v>232</v>
      </c>
      <c r="AL3" s="18"/>
      <c r="AM3" s="67"/>
      <c r="AN3" s="18"/>
      <c r="AO3" s="66" t="s">
        <v>233</v>
      </c>
      <c r="AP3" s="18"/>
      <c r="AQ3" s="67"/>
      <c r="AR3" s="18"/>
      <c r="AS3" s="61" t="s">
        <v>234</v>
      </c>
      <c r="AT3" s="18"/>
      <c r="AU3" s="62"/>
      <c r="AV3" s="18"/>
      <c r="AW3" s="61" t="s">
        <v>235</v>
      </c>
      <c r="AX3" s="18"/>
      <c r="AY3" s="61" t="s">
        <v>236</v>
      </c>
      <c r="AZ3" s="18"/>
      <c r="BA3" s="62"/>
      <c r="BB3" s="70"/>
      <c r="BC3" s="55" t="s">
        <v>237</v>
      </c>
      <c r="BD3" s="71"/>
      <c r="BE3" s="55" t="s">
        <v>238</v>
      </c>
      <c r="BF3" s="71"/>
      <c r="BG3" s="79" t="s">
        <v>239</v>
      </c>
      <c r="BH3" s="19"/>
      <c r="BI3" s="19"/>
      <c r="BJ3" s="19"/>
      <c r="BK3" s="19"/>
      <c r="BL3" s="79"/>
      <c r="BM3" s="85" t="s">
        <v>240</v>
      </c>
      <c r="BN3" s="86" t="s">
        <v>241</v>
      </c>
      <c r="BO3" s="43"/>
      <c r="BP3" s="43"/>
      <c r="BQ3" s="44"/>
      <c r="BR3" s="87" t="s">
        <v>242</v>
      </c>
      <c r="BS3" s="88" t="s">
        <v>243</v>
      </c>
      <c r="BT3" s="19"/>
      <c r="BU3" s="88" t="s">
        <v>244</v>
      </c>
      <c r="BV3" s="19"/>
      <c r="BW3" s="19"/>
      <c r="BX3" s="19"/>
      <c r="BY3" s="88" t="s">
        <v>245</v>
      </c>
      <c r="BZ3" s="19"/>
      <c r="CA3" s="88" t="s">
        <v>246</v>
      </c>
      <c r="CB3" s="19"/>
      <c r="CC3" s="101" t="s">
        <v>247</v>
      </c>
      <c r="CD3" s="19"/>
      <c r="CE3" s="19"/>
      <c r="CF3" s="19"/>
      <c r="CG3" s="19"/>
      <c r="CH3" s="19"/>
      <c r="CI3" s="102" t="s">
        <v>248</v>
      </c>
      <c r="CJ3" s="103" t="s">
        <v>249</v>
      </c>
      <c r="CK3" s="19"/>
      <c r="CL3" s="19"/>
    </row>
    <row r="4" s="5" customFormat="1" ht="44.25" customHeight="1">
      <c r="A4" s="19"/>
      <c r="B4" s="20" t="s">
        <v>250</v>
      </c>
      <c r="C4" s="21" t="s">
        <v>251</v>
      </c>
      <c r="D4" s="22" t="s">
        <v>252</v>
      </c>
      <c r="E4" s="22" t="s">
        <v>253</v>
      </c>
      <c r="F4" s="21" t="s">
        <v>254</v>
      </c>
      <c r="G4" s="21" t="s">
        <v>255</v>
      </c>
      <c r="H4" s="22" t="s">
        <v>256</v>
      </c>
      <c r="I4" s="45" t="s">
        <v>257</v>
      </c>
      <c r="J4" s="46" t="s">
        <v>258</v>
      </c>
      <c r="K4" s="46" t="s">
        <v>259</v>
      </c>
      <c r="L4" s="46" t="s">
        <v>260</v>
      </c>
      <c r="M4" s="46" t="s">
        <v>261</v>
      </c>
      <c r="N4" s="47" t="s">
        <v>262</v>
      </c>
      <c r="O4" s="46" t="s">
        <v>263</v>
      </c>
      <c r="P4" s="46" t="s">
        <v>264</v>
      </c>
      <c r="Q4" s="46" t="s">
        <v>265</v>
      </c>
      <c r="R4" s="46" t="s">
        <v>266</v>
      </c>
      <c r="S4" s="46" t="s">
        <v>267</v>
      </c>
      <c r="T4" s="46" t="s">
        <v>268</v>
      </c>
      <c r="U4" s="46" t="s">
        <v>269</v>
      </c>
      <c r="V4" s="46" t="s">
        <v>270</v>
      </c>
      <c r="W4" s="57" t="s">
        <v>271</v>
      </c>
      <c r="X4" s="57" t="s">
        <v>272</v>
      </c>
      <c r="Y4" s="63" t="s">
        <v>273</v>
      </c>
      <c r="Z4" s="63" t="s">
        <v>274</v>
      </c>
      <c r="AA4" s="63" t="s">
        <v>275</v>
      </c>
      <c r="AB4" s="63" t="s">
        <v>276</v>
      </c>
      <c r="AC4" s="63" t="s">
        <v>277</v>
      </c>
      <c r="AD4" s="63" t="s">
        <v>278</v>
      </c>
      <c r="AE4" s="63" t="s">
        <v>279</v>
      </c>
      <c r="AF4" s="63" t="s">
        <v>280</v>
      </c>
      <c r="AG4" s="63" t="s">
        <v>281</v>
      </c>
      <c r="AH4" s="63" t="s">
        <v>282</v>
      </c>
      <c r="AI4" s="63" t="s">
        <v>283</v>
      </c>
      <c r="AJ4" s="63" t="s">
        <v>284</v>
      </c>
      <c r="AK4" s="63" t="s">
        <v>285</v>
      </c>
      <c r="AL4" s="63" t="s">
        <v>286</v>
      </c>
      <c r="AM4" s="63" t="s">
        <v>287</v>
      </c>
      <c r="AN4" s="63" t="s">
        <v>288</v>
      </c>
      <c r="AO4" s="63" t="s">
        <v>289</v>
      </c>
      <c r="AP4" s="63" t="s">
        <v>290</v>
      </c>
      <c r="AQ4" s="63" t="s">
        <v>291</v>
      </c>
      <c r="AR4" s="63" t="s">
        <v>292</v>
      </c>
      <c r="AS4" s="63" t="s">
        <v>293</v>
      </c>
      <c r="AT4" s="63" t="s">
        <v>294</v>
      </c>
      <c r="AU4" s="63" t="s">
        <v>295</v>
      </c>
      <c r="AV4" s="63" t="s">
        <v>296</v>
      </c>
      <c r="AW4" s="63" t="s">
        <v>297</v>
      </c>
      <c r="AX4" s="63" t="s">
        <v>298</v>
      </c>
      <c r="AY4" s="63" t="s">
        <v>299</v>
      </c>
      <c r="AZ4" s="63" t="s">
        <v>300</v>
      </c>
      <c r="BA4" s="63" t="s">
        <v>301</v>
      </c>
      <c r="BB4" s="72" t="s">
        <v>302</v>
      </c>
      <c r="BC4" s="57" t="s">
        <v>303</v>
      </c>
      <c r="BD4" s="73" t="s">
        <v>304</v>
      </c>
      <c r="BE4" s="80" t="s">
        <v>303</v>
      </c>
      <c r="BF4" s="81" t="s">
        <v>304</v>
      </c>
      <c r="BG4" s="47" t="s">
        <v>305</v>
      </c>
      <c r="BH4" s="47" t="s">
        <v>306</v>
      </c>
      <c r="BI4" s="46" t="s">
        <v>307</v>
      </c>
      <c r="BJ4" s="46" t="s">
        <v>308</v>
      </c>
      <c r="BK4" s="47" t="s">
        <v>309</v>
      </c>
      <c r="BL4" s="47" t="s">
        <v>310</v>
      </c>
      <c r="BM4" s="19"/>
      <c r="BN4" s="89" t="s">
        <v>258</v>
      </c>
      <c r="BO4" s="89" t="s">
        <v>259</v>
      </c>
      <c r="BP4" s="89" t="s">
        <v>260</v>
      </c>
      <c r="BQ4" s="89" t="s">
        <v>261</v>
      </c>
      <c r="BR4" s="90" t="s">
        <v>311</v>
      </c>
      <c r="BS4" s="91" t="s">
        <v>271</v>
      </c>
      <c r="BT4" s="91" t="s">
        <v>272</v>
      </c>
      <c r="BU4" s="91" t="s">
        <v>312</v>
      </c>
      <c r="BV4" s="91" t="s">
        <v>313</v>
      </c>
      <c r="BW4" s="91" t="s">
        <v>314</v>
      </c>
      <c r="BX4" s="91" t="s">
        <v>315</v>
      </c>
      <c r="BY4" s="91" t="s">
        <v>303</v>
      </c>
      <c r="BZ4" s="91" t="s">
        <v>304</v>
      </c>
      <c r="CA4" s="91" t="s">
        <v>303</v>
      </c>
      <c r="CB4" s="91" t="s">
        <v>304</v>
      </c>
      <c r="CC4" s="104" t="s">
        <v>316</v>
      </c>
      <c r="CD4" s="105" t="s">
        <v>317</v>
      </c>
      <c r="CE4" s="105" t="s">
        <v>318</v>
      </c>
      <c r="CF4" s="105" t="s">
        <v>319</v>
      </c>
      <c r="CG4" s="106" t="s">
        <v>320</v>
      </c>
      <c r="CH4" s="106" t="s">
        <v>321</v>
      </c>
      <c r="CI4" s="56"/>
      <c r="CJ4" s="107" t="s">
        <v>322</v>
      </c>
      <c r="CK4" s="107" t="s">
        <v>323</v>
      </c>
      <c r="CL4" s="113" t="s">
        <v>324</v>
      </c>
    </row>
    <row r="5" s="6" customFormat="1" ht="30" customHeight="1">
      <c r="A5" s="23" t="n">
        <v>1</v>
      </c>
      <c r="B5" s="24" t="s">
        <v>325</v>
      </c>
      <c r="C5" s="25"/>
      <c r="D5" s="26"/>
      <c r="E5" s="26"/>
      <c r="F5" s="27"/>
      <c r="G5" s="26"/>
      <c r="H5" s="28"/>
      <c r="I5" s="23" t="s">
        <v>25</v>
      </c>
      <c r="J5" s="48"/>
      <c r="K5" s="48"/>
      <c r="L5" s="48"/>
      <c r="M5" s="48"/>
      <c r="N5" s="49" t="n">
        <f>O5+P5+Q5+R5</f>
        <v>6784</v>
      </c>
      <c r="O5" s="49" t="n">
        <f>X5</f>
        <v>6784</v>
      </c>
      <c r="P5" s="49" t="n">
        <f>AA5+AE5+AI5+AM5+AQ5+AU5+AX5+BA5</f>
        <v>0</v>
      </c>
      <c r="Q5" s="49" t="n">
        <f>AB5+AF5+AJ5+AN5+AR5+AV5+BB5</f>
        <v>0</v>
      </c>
      <c r="R5" s="49" t="n">
        <f>BD5+BF5</f>
        <v>0</v>
      </c>
      <c r="S5" s="49" t="n">
        <f>W5</f>
        <v>4</v>
      </c>
      <c r="T5" s="49" t="n">
        <f>Y5+AC5+AG5+AK5+AO5+AS5+AW5+AY5</f>
        <v>0</v>
      </c>
      <c r="U5" s="49" t="n">
        <f>Z5+AD5+AH5+AL5+AP5+AT5+AZ5</f>
        <v>0</v>
      </c>
      <c r="V5" s="49" t="n">
        <f>BC5+BE5</f>
        <v>0</v>
      </c>
      <c r="W5" s="58" t="n">
        <v>4</v>
      </c>
      <c r="X5" s="58" t="n">
        <f>W5*1696</f>
        <v>6784</v>
      </c>
      <c r="Y5" s="64"/>
      <c r="Z5" s="64"/>
      <c r="AA5" s="64"/>
      <c r="AB5" s="64" t="n">
        <f>Z5*995</f>
        <v>0</v>
      </c>
      <c r="AC5" s="65"/>
      <c r="AD5" s="65"/>
      <c r="AE5" s="65"/>
      <c r="AF5" s="65" t="n">
        <f>AD5*995</f>
        <v>0</v>
      </c>
      <c r="AG5" s="64"/>
      <c r="AH5" s="64"/>
      <c r="AI5" s="64"/>
      <c r="AJ5" s="64" t="n">
        <f>AH5*995</f>
        <v>0</v>
      </c>
      <c r="AK5" s="68"/>
      <c r="AL5" s="68"/>
      <c r="AM5" s="68"/>
      <c r="AN5" s="68" t="n">
        <f>AL5*995</f>
        <v>0</v>
      </c>
      <c r="AO5" s="58"/>
      <c r="AP5" s="58"/>
      <c r="AQ5" s="58"/>
      <c r="AR5" s="58" t="n">
        <f>AP5*995</f>
        <v>0</v>
      </c>
      <c r="AS5" s="69"/>
      <c r="AT5" s="69"/>
      <c r="AU5" s="69"/>
      <c r="AV5" s="69" t="n">
        <f>AT5*995</f>
        <v>0</v>
      </c>
      <c r="AW5" s="65"/>
      <c r="AX5" s="65"/>
      <c r="AY5" s="74"/>
      <c r="AZ5" s="74"/>
      <c r="BA5" s="74"/>
      <c r="BB5" s="75" t="n">
        <f>AZ5*995</f>
        <v>0</v>
      </c>
      <c r="BC5" s="76"/>
      <c r="BD5" s="77" t="n">
        <f>BC5*320</f>
        <v>0</v>
      </c>
      <c r="BE5" s="58"/>
      <c r="BF5" s="58" t="n">
        <f>BE5*320</f>
        <v>0</v>
      </c>
      <c r="BG5" s="82" t="n">
        <f>SUM(BH5:BL5)</f>
        <v>2000</v>
      </c>
      <c r="BH5" s="83" t="n">
        <v>2000</v>
      </c>
      <c r="BI5" s="83"/>
      <c r="BJ5" s="83"/>
      <c r="BK5" s="83"/>
      <c r="BL5" s="83"/>
      <c r="BM5" s="92"/>
      <c r="BN5" s="48"/>
      <c r="BO5" s="48"/>
      <c r="BP5" s="48"/>
      <c r="BQ5" s="48"/>
      <c r="BR5" s="93" t="n">
        <f>SUM(BT5,BW5,BX5,BZ5,CB5)</f>
        <v>0</v>
      </c>
      <c r="BS5" s="94"/>
      <c r="BT5" s="94"/>
      <c r="BU5" s="96"/>
      <c r="BV5" s="96"/>
      <c r="BW5" s="96"/>
      <c r="BX5" s="96" t="n">
        <f>BV5*995</f>
        <v>0</v>
      </c>
      <c r="BY5" s="97"/>
      <c r="BZ5" s="98" t="n">
        <f>BY5*320</f>
        <v>0</v>
      </c>
      <c r="CA5" s="99"/>
      <c r="CB5" s="99" t="n">
        <f>CA5*320</f>
        <v>0</v>
      </c>
      <c r="CC5" s="48" t="n">
        <f>SUM(CD5:CH5)</f>
        <v>0</v>
      </c>
      <c r="CD5" s="68"/>
      <c r="CE5" s="68"/>
      <c r="CF5" s="68"/>
      <c r="CG5" s="68"/>
      <c r="CH5" s="108"/>
      <c r="CI5" s="109" t="s">
        <v>326</v>
      </c>
      <c r="CJ5" s="110"/>
      <c r="CK5" s="111"/>
      <c r="CL5" s="114" t="s">
        <v>327</v>
      </c>
    </row>
    <row r="6" s="6" customFormat="1" ht="86.00000000000001" customHeight="1">
      <c r="A6" s="23" t="n">
        <v>2</v>
      </c>
      <c r="B6" s="24" t="s">
        <v>328</v>
      </c>
      <c r="C6" s="25"/>
      <c r="D6" s="27" t="s">
        <v>329</v>
      </c>
      <c r="E6" s="26"/>
      <c r="F6" s="27"/>
      <c r="G6" s="274" t="s">
        <v>330</v>
      </c>
      <c r="H6" s="28"/>
      <c r="I6" s="23" t="s">
        <v>25</v>
      </c>
      <c r="J6" s="48"/>
      <c r="K6" s="48"/>
      <c r="L6" s="48"/>
      <c r="M6" s="48"/>
      <c r="N6" s="49" t="n">
        <f>O6+P6+Q6+R6</f>
        <v>38319</v>
      </c>
      <c r="O6" s="49" t="n">
        <f>X6</f>
        <v>0</v>
      </c>
      <c r="P6" s="49" t="n">
        <f>AA6+AE6+AI6+AM6+AQ6+AU6+AX6+BA6</f>
        <v>23744</v>
      </c>
      <c r="Q6" s="49" t="n">
        <f>AB6+AF6+AJ6+AN6+AR6+AV6+BB6</f>
        <v>4975</v>
      </c>
      <c r="R6" s="49" t="n">
        <f>BD6+BF6</f>
        <v>9600</v>
      </c>
      <c r="S6" s="49" t="n">
        <f>W6</f>
        <v>0</v>
      </c>
      <c r="T6" s="49" t="n">
        <f>Y6+AC6+AG6+AK6+AO6+AS6+AW6+AY6</f>
        <v>14</v>
      </c>
      <c r="U6" s="49" t="n">
        <f>Z6+AD6+AH6+AL6+AP6+AT6+AZ6</f>
        <v>5</v>
      </c>
      <c r="V6" s="49" t="n">
        <f>BC6+BE6</f>
        <v>30</v>
      </c>
      <c r="W6" s="58"/>
      <c r="X6" s="58"/>
      <c r="Y6" s="64"/>
      <c r="Z6" s="64"/>
      <c r="AA6" s="64"/>
      <c r="AB6" s="64" t="n">
        <f>Z6*995</f>
        <v>0</v>
      </c>
      <c r="AC6" s="65"/>
      <c r="AD6" s="65"/>
      <c r="AE6" s="65"/>
      <c r="AF6" s="65" t="n">
        <f>AD6*995</f>
        <v>0</v>
      </c>
      <c r="AG6" s="64"/>
      <c r="AH6" s="64"/>
      <c r="AI6" s="64"/>
      <c r="AJ6" s="64" t="n">
        <f>AH6*995</f>
        <v>0</v>
      </c>
      <c r="AK6" s="68"/>
      <c r="AL6" s="68"/>
      <c r="AM6" s="68"/>
      <c r="AN6" s="68" t="n">
        <f>AL6*995</f>
        <v>0</v>
      </c>
      <c r="AO6" s="58"/>
      <c r="AP6" s="58"/>
      <c r="AQ6" s="58"/>
      <c r="AR6" s="58" t="n">
        <f>AP6*995</f>
        <v>0</v>
      </c>
      <c r="AS6" s="69" t="n">
        <v>12</v>
      </c>
      <c r="AT6" s="69" t="n">
        <v>5</v>
      </c>
      <c r="AU6" s="69" t="n">
        <f>AS6*1696</f>
        <v>20352</v>
      </c>
      <c r="AV6" s="69" t="n">
        <f>AT6*995</f>
        <v>4975</v>
      </c>
      <c r="AW6" s="65"/>
      <c r="AX6" s="65"/>
      <c r="AY6" s="74" t="n">
        <v>2</v>
      </c>
      <c r="AZ6" s="74"/>
      <c r="BA6" s="74" t="n">
        <f>AY6*1696</f>
        <v>3392</v>
      </c>
      <c r="BB6" s="75" t="n">
        <f>AZ6*995</f>
        <v>0</v>
      </c>
      <c r="BC6" s="76" t="n">
        <v>30</v>
      </c>
      <c r="BD6" s="77" t="n">
        <f>BC6*320</f>
        <v>9600</v>
      </c>
      <c r="BE6" s="58"/>
      <c r="BF6" s="58" t="n">
        <f>BE6*320</f>
        <v>0</v>
      </c>
      <c r="BG6" s="82" t="n">
        <f>SUM(BH6:BL6)</f>
        <v>0</v>
      </c>
      <c r="BH6" s="68"/>
      <c r="BI6" s="68"/>
      <c r="BJ6" s="68"/>
      <c r="BK6" s="68"/>
      <c r="BL6" s="68"/>
      <c r="BM6" s="95"/>
      <c r="BN6" s="48"/>
      <c r="BO6" s="48"/>
      <c r="BP6" s="48"/>
      <c r="BQ6" s="48"/>
      <c r="BR6" s="93" t="n">
        <f>SUM(BT6,BW6,BX6,BZ6,CB6)</f>
        <v>0</v>
      </c>
      <c r="BS6" s="58"/>
      <c r="BT6" s="94"/>
      <c r="BU6" s="74"/>
      <c r="BV6" s="74"/>
      <c r="BW6" s="96"/>
      <c r="BX6" s="96" t="n">
        <f>BV6*995</f>
        <v>0</v>
      </c>
      <c r="BY6" s="76"/>
      <c r="BZ6" s="98" t="n">
        <f>BY6*320</f>
        <v>0</v>
      </c>
      <c r="CA6" s="100"/>
      <c r="CB6" s="99" t="n">
        <f>CA6*320</f>
        <v>0</v>
      </c>
      <c r="CC6" s="48" t="n">
        <f>SUM(CD6:CH6)</f>
        <v>0</v>
      </c>
      <c r="CD6" s="68"/>
      <c r="CE6" s="68"/>
      <c r="CF6" s="68"/>
      <c r="CG6" s="68"/>
      <c r="CH6" s="108"/>
      <c r="CI6" s="56"/>
      <c r="CJ6" s="111"/>
      <c r="CK6" s="111"/>
      <c r="CL6" s="19"/>
    </row>
    <row r="7" s="6" customFormat="1" ht="66" customHeight="1">
      <c r="A7" s="23" t="n">
        <v>3</v>
      </c>
      <c r="B7" s="29" t="s">
        <v>331</v>
      </c>
      <c r="C7" s="25"/>
      <c r="D7" s="27" t="s">
        <v>332</v>
      </c>
      <c r="E7" s="26"/>
      <c r="F7" s="27"/>
      <c r="G7" s="30" t="s">
        <v>333</v>
      </c>
      <c r="H7" s="28"/>
      <c r="I7" s="23" t="s">
        <v>25</v>
      </c>
      <c r="J7" s="48"/>
      <c r="K7" s="48"/>
      <c r="L7" s="48"/>
      <c r="M7" s="48"/>
      <c r="N7" s="49" t="n">
        <f>O7+P7+Q7+R7</f>
        <v>0</v>
      </c>
      <c r="O7" s="49" t="n">
        <f>X7</f>
        <v>0</v>
      </c>
      <c r="P7" s="49" t="n">
        <f>AA7+AE7+AI7+AM7+AQ7+AU7+AX7+BA7</f>
        <v>0</v>
      </c>
      <c r="Q7" s="49" t="n">
        <f>AB7+AF7+AJ7+AN7+AR7+AV7+BB7</f>
        <v>0</v>
      </c>
      <c r="R7" s="49" t="n">
        <f>BD7+BF7</f>
        <v>0</v>
      </c>
      <c r="S7" s="49" t="n">
        <f>W7</f>
        <v>0</v>
      </c>
      <c r="T7" s="49" t="n">
        <f>Y7+AC7+AG7+AK7+AO7+AS7+AW7+AY7</f>
        <v>0</v>
      </c>
      <c r="U7" s="49" t="n">
        <f>Z7+AD7+AH7+AL7+AP7+AT7+AZ7</f>
        <v>0</v>
      </c>
      <c r="V7" s="49" t="n">
        <f>BC7+BE7</f>
        <v>0</v>
      </c>
      <c r="W7" s="58"/>
      <c r="X7" s="58"/>
      <c r="Y7" s="64"/>
      <c r="Z7" s="64"/>
      <c r="AA7" s="64"/>
      <c r="AB7" s="64" t="n">
        <f>Z7*995</f>
        <v>0</v>
      </c>
      <c r="AC7" s="65"/>
      <c r="AD7" s="65"/>
      <c r="AE7" s="65"/>
      <c r="AF7" s="65" t="n">
        <f>AD7*995</f>
        <v>0</v>
      </c>
      <c r="AG7" s="64"/>
      <c r="AH7" s="64"/>
      <c r="AI7" s="64"/>
      <c r="AJ7" s="64" t="n">
        <f>AH7*995</f>
        <v>0</v>
      </c>
      <c r="AK7" s="68"/>
      <c r="AL7" s="68"/>
      <c r="AM7" s="68"/>
      <c r="AN7" s="68" t="n">
        <f>AL7*995</f>
        <v>0</v>
      </c>
      <c r="AO7" s="58"/>
      <c r="AP7" s="58"/>
      <c r="AQ7" s="58"/>
      <c r="AR7" s="58" t="n">
        <f>AP7*995</f>
        <v>0</v>
      </c>
      <c r="AS7" s="69"/>
      <c r="AT7" s="69"/>
      <c r="AU7" s="69"/>
      <c r="AV7" s="69" t="n">
        <f>AT7*995</f>
        <v>0</v>
      </c>
      <c r="AW7" s="65"/>
      <c r="AX7" s="65"/>
      <c r="AY7" s="74"/>
      <c r="AZ7" s="74"/>
      <c r="BA7" s="74"/>
      <c r="BB7" s="75" t="n">
        <f>AZ7*995</f>
        <v>0</v>
      </c>
      <c r="BC7" s="76"/>
      <c r="BD7" s="77" t="n">
        <f>BC7*320</f>
        <v>0</v>
      </c>
      <c r="BE7" s="58"/>
      <c r="BF7" s="58" t="n">
        <f>BE7*320</f>
        <v>0</v>
      </c>
      <c r="BG7" s="82" t="n">
        <f>SUM(BH7:BL7)</f>
        <v>0</v>
      </c>
      <c r="BH7" s="68"/>
      <c r="BI7" s="68"/>
      <c r="BJ7" s="68"/>
      <c r="BK7" s="68"/>
      <c r="BL7" s="68"/>
      <c r="BM7" s="95"/>
      <c r="BN7" s="48"/>
      <c r="BO7" s="48"/>
      <c r="BP7" s="48"/>
      <c r="BQ7" s="48"/>
      <c r="BR7" s="93" t="n">
        <f>SUM(BT7,BW7,BX7,BZ7,CB7)</f>
        <v>0</v>
      </c>
      <c r="BS7" s="58"/>
      <c r="BT7" s="94"/>
      <c r="BU7" s="74"/>
      <c r="BV7" s="74"/>
      <c r="BW7" s="96"/>
      <c r="BX7" s="96" t="n">
        <f>BV7*995</f>
        <v>0</v>
      </c>
      <c r="BY7" s="76"/>
      <c r="BZ7" s="98" t="n">
        <f>BY7*320</f>
        <v>0</v>
      </c>
      <c r="CA7" s="100"/>
      <c r="CB7" s="99" t="n">
        <f>CA7*320</f>
        <v>0</v>
      </c>
      <c r="CC7" s="48" t="n">
        <f>SUM(CD7:CH7)</f>
        <v>0</v>
      </c>
      <c r="CD7" s="68"/>
      <c r="CE7" s="68"/>
      <c r="CF7" s="68"/>
      <c r="CG7" s="68"/>
      <c r="CH7" s="108"/>
      <c r="CI7" s="56"/>
      <c r="CJ7" s="111"/>
      <c r="CK7" s="111"/>
      <c r="CL7" s="19"/>
    </row>
    <row r="8" s="6" customFormat="1" ht="30" customHeight="1">
      <c r="A8" s="23" t="n">
        <v>4</v>
      </c>
      <c r="B8" s="31"/>
      <c r="C8" s="25"/>
      <c r="D8" s="28"/>
      <c r="E8" s="28"/>
      <c r="F8" s="32"/>
      <c r="G8" s="28"/>
      <c r="H8" s="28"/>
      <c r="I8" s="50"/>
      <c r="J8" s="48"/>
      <c r="K8" s="48"/>
      <c r="L8" s="48"/>
      <c r="M8" s="48"/>
      <c r="N8" s="49" t="n">
        <f>O8+P8+Q8+R8</f>
        <v>0</v>
      </c>
      <c r="O8" s="49" t="n">
        <f>X8</f>
        <v>0</v>
      </c>
      <c r="P8" s="49" t="n">
        <f>AA8+AE8+AI8+AM8+AQ8+AU8+AX8+BA8</f>
        <v>0</v>
      </c>
      <c r="Q8" s="49" t="n">
        <f>AB8+AF8+AJ8+AN8+AR8+AV8+BB8</f>
        <v>0</v>
      </c>
      <c r="R8" s="49" t="n">
        <f>BD8+BF8</f>
        <v>0</v>
      </c>
      <c r="S8" s="49" t="n">
        <f>W8</f>
        <v>0</v>
      </c>
      <c r="T8" s="49" t="n">
        <f>Y8+AC8+AG8+AK8+AO8+AS8+AW8+AY8</f>
        <v>0</v>
      </c>
      <c r="U8" s="49" t="n">
        <f>Z8+AD8+AH8+AL8+AP8+AT8+AZ8</f>
        <v>0</v>
      </c>
      <c r="V8" s="49" t="n">
        <f>BC8+BE8</f>
        <v>0</v>
      </c>
      <c r="W8" s="58"/>
      <c r="X8" s="58"/>
      <c r="Y8" s="64"/>
      <c r="Z8" s="64"/>
      <c r="AA8" s="64"/>
      <c r="AB8" s="64" t="n">
        <f>Z8*995</f>
        <v>0</v>
      </c>
      <c r="AC8" s="65"/>
      <c r="AD8" s="65"/>
      <c r="AE8" s="65"/>
      <c r="AF8" s="65" t="n">
        <f>AD8*995</f>
        <v>0</v>
      </c>
      <c r="AG8" s="64"/>
      <c r="AH8" s="64"/>
      <c r="AI8" s="64"/>
      <c r="AJ8" s="64" t="n">
        <f>AH8*995</f>
        <v>0</v>
      </c>
      <c r="AK8" s="68"/>
      <c r="AL8" s="68"/>
      <c r="AM8" s="68"/>
      <c r="AN8" s="68" t="n">
        <f>AL8*995</f>
        <v>0</v>
      </c>
      <c r="AO8" s="58"/>
      <c r="AP8" s="58"/>
      <c r="AQ8" s="58"/>
      <c r="AR8" s="58" t="n">
        <f>AP8*995</f>
        <v>0</v>
      </c>
      <c r="AS8" s="69"/>
      <c r="AT8" s="69"/>
      <c r="AU8" s="69"/>
      <c r="AV8" s="69" t="n">
        <f>AT8*995</f>
        <v>0</v>
      </c>
      <c r="AW8" s="65"/>
      <c r="AX8" s="65"/>
      <c r="AY8" s="74"/>
      <c r="AZ8" s="74"/>
      <c r="BA8" s="74"/>
      <c r="BB8" s="75" t="n">
        <f>AZ8*995</f>
        <v>0</v>
      </c>
      <c r="BC8" s="76"/>
      <c r="BD8" s="77" t="n">
        <f>BC8*320</f>
        <v>0</v>
      </c>
      <c r="BE8" s="58"/>
      <c r="BF8" s="58" t="n">
        <f>BE8*320</f>
        <v>0</v>
      </c>
      <c r="BG8" s="82" t="n">
        <f>SUM(BH8:BL8)</f>
        <v>0</v>
      </c>
      <c r="BH8" s="68"/>
      <c r="BI8" s="68"/>
      <c r="BJ8" s="68"/>
      <c r="BK8" s="68"/>
      <c r="BL8" s="68"/>
      <c r="BM8" s="95"/>
      <c r="BN8" s="48"/>
      <c r="BO8" s="48"/>
      <c r="BP8" s="48"/>
      <c r="BQ8" s="48"/>
      <c r="BR8" s="93" t="n">
        <f>SUM(BT8,BW8,BX8,BZ8,CB8)</f>
        <v>0</v>
      </c>
      <c r="BS8" s="58"/>
      <c r="BT8" s="94"/>
      <c r="BU8" s="74"/>
      <c r="BV8" s="74"/>
      <c r="BW8" s="96"/>
      <c r="BX8" s="96" t="n">
        <f>BV8*995</f>
        <v>0</v>
      </c>
      <c r="BY8" s="76"/>
      <c r="BZ8" s="98" t="n">
        <f>BY8*320</f>
        <v>0</v>
      </c>
      <c r="CA8" s="100"/>
      <c r="CB8" s="99" t="n">
        <f>CA8*320</f>
        <v>0</v>
      </c>
      <c r="CC8" s="48" t="n">
        <f>SUM(CD8:CH8)</f>
        <v>0</v>
      </c>
      <c r="CD8" s="68"/>
      <c r="CE8" s="68"/>
      <c r="CF8" s="68"/>
      <c r="CG8" s="68"/>
      <c r="CH8" s="108"/>
      <c r="CI8" s="56"/>
      <c r="CJ8" s="111"/>
      <c r="CK8" s="111"/>
      <c r="CL8" s="19"/>
    </row>
    <row r="9" s="6" customFormat="1" ht="30" customHeight="1">
      <c r="A9" s="23" t="n">
        <v>5</v>
      </c>
      <c r="B9" s="31"/>
      <c r="C9" s="25"/>
      <c r="D9" s="28"/>
      <c r="E9" s="28"/>
      <c r="F9" s="32"/>
      <c r="G9" s="28"/>
      <c r="H9" s="28"/>
      <c r="I9" s="50"/>
      <c r="J9" s="48"/>
      <c r="K9" s="48"/>
      <c r="L9" s="48"/>
      <c r="M9" s="48"/>
      <c r="N9" s="49" t="n">
        <f>O9+P9+Q9+R9</f>
        <v>0</v>
      </c>
      <c r="O9" s="49" t="n">
        <f>X9</f>
        <v>0</v>
      </c>
      <c r="P9" s="49" t="n">
        <f>AA9+AE9+AI9+AM9+AQ9+AU9+AX9+BA9</f>
        <v>0</v>
      </c>
      <c r="Q9" s="49" t="n">
        <f>AB9+AF9+AJ9+AN9+AR9+AV9+BB9</f>
        <v>0</v>
      </c>
      <c r="R9" s="49" t="n">
        <f>BD9+BF9</f>
        <v>0</v>
      </c>
      <c r="S9" s="49" t="n">
        <f>W9</f>
        <v>0</v>
      </c>
      <c r="T9" s="49" t="n">
        <f>Y9+AC9+AG9+AK9+AO9+AS9+AW9+AY9</f>
        <v>0</v>
      </c>
      <c r="U9" s="49" t="n">
        <f>Z9+AD9+AH9+AL9+AP9+AT9+AZ9</f>
        <v>0</v>
      </c>
      <c r="V9" s="49" t="n">
        <f>BC9+BE9</f>
        <v>0</v>
      </c>
      <c r="W9" s="58"/>
      <c r="X9" s="58"/>
      <c r="Y9" s="64"/>
      <c r="Z9" s="64"/>
      <c r="AA9" s="64"/>
      <c r="AB9" s="64" t="n">
        <f>Z9*995</f>
        <v>0</v>
      </c>
      <c r="AC9" s="65"/>
      <c r="AD9" s="65"/>
      <c r="AE9" s="65"/>
      <c r="AF9" s="65" t="n">
        <f>AD9*995</f>
        <v>0</v>
      </c>
      <c r="AG9" s="64"/>
      <c r="AH9" s="64"/>
      <c r="AI9" s="64"/>
      <c r="AJ9" s="64" t="n">
        <f>AH9*995</f>
        <v>0</v>
      </c>
      <c r="AK9" s="68"/>
      <c r="AL9" s="68"/>
      <c r="AM9" s="68"/>
      <c r="AN9" s="68" t="n">
        <f>AL9*995</f>
        <v>0</v>
      </c>
      <c r="AO9" s="58"/>
      <c r="AP9" s="58"/>
      <c r="AQ9" s="58"/>
      <c r="AR9" s="58" t="n">
        <f>AP9*995</f>
        <v>0</v>
      </c>
      <c r="AS9" s="69"/>
      <c r="AT9" s="69"/>
      <c r="AU9" s="69"/>
      <c r="AV9" s="69" t="n">
        <f>AT9*995</f>
        <v>0</v>
      </c>
      <c r="AW9" s="65"/>
      <c r="AX9" s="65"/>
      <c r="AY9" s="74"/>
      <c r="AZ9" s="74"/>
      <c r="BA9" s="74"/>
      <c r="BB9" s="75" t="n">
        <f>AZ9*995</f>
        <v>0</v>
      </c>
      <c r="BC9" s="76"/>
      <c r="BD9" s="77" t="n">
        <f>BC9*320</f>
        <v>0</v>
      </c>
      <c r="BE9" s="58"/>
      <c r="BF9" s="58" t="n">
        <f>BE9*320</f>
        <v>0</v>
      </c>
      <c r="BG9" s="82" t="n">
        <f>SUM(BH9:BL9)</f>
        <v>0</v>
      </c>
      <c r="BH9" s="68"/>
      <c r="BI9" s="68"/>
      <c r="BJ9" s="68"/>
      <c r="BK9" s="68"/>
      <c r="BL9" s="68"/>
      <c r="BM9" s="95"/>
      <c r="BN9" s="48"/>
      <c r="BO9" s="48"/>
      <c r="BP9" s="48"/>
      <c r="BQ9" s="48"/>
      <c r="BR9" s="93" t="n">
        <f>SUM(BT9,BW9,BX9,BZ9,CB9)</f>
        <v>0</v>
      </c>
      <c r="BS9" s="58"/>
      <c r="BT9" s="94"/>
      <c r="BU9" s="74"/>
      <c r="BV9" s="74"/>
      <c r="BW9" s="96"/>
      <c r="BX9" s="96" t="n">
        <f>BV9*995</f>
        <v>0</v>
      </c>
      <c r="BY9" s="76"/>
      <c r="BZ9" s="98" t="n">
        <f>BY9*320</f>
        <v>0</v>
      </c>
      <c r="CA9" s="100"/>
      <c r="CB9" s="99" t="n">
        <f>CA9*320</f>
        <v>0</v>
      </c>
      <c r="CC9" s="48" t="n">
        <f>SUM(CD9:CH9)</f>
        <v>0</v>
      </c>
      <c r="CD9" s="68"/>
      <c r="CE9" s="68"/>
      <c r="CF9" s="68"/>
      <c r="CG9" s="68"/>
      <c r="CH9" s="108"/>
      <c r="CI9" s="109"/>
      <c r="CJ9" s="111"/>
      <c r="CK9" s="111"/>
      <c r="CL9" s="114"/>
    </row>
    <row r="10" s="6" customFormat="1" ht="30" customHeight="1">
      <c r="A10" s="23" t="n">
        <v>6</v>
      </c>
      <c r="B10" s="31"/>
      <c r="C10" s="25"/>
      <c r="D10" s="28"/>
      <c r="E10" s="28"/>
      <c r="F10" s="32"/>
      <c r="G10" s="28"/>
      <c r="H10" s="28"/>
      <c r="I10" s="50"/>
      <c r="J10" s="48"/>
      <c r="K10" s="48"/>
      <c r="L10" s="48"/>
      <c r="M10" s="48"/>
      <c r="N10" s="49" t="n">
        <f>O10+P10+Q10+R10</f>
        <v>0</v>
      </c>
      <c r="O10" s="49" t="n">
        <f>X10</f>
        <v>0</v>
      </c>
      <c r="P10" s="49" t="n">
        <f>AA10+AE10+AI10+AM10+AQ10+AU10+AX10+BA10</f>
        <v>0</v>
      </c>
      <c r="Q10" s="49" t="n">
        <f>AB10+AF10+AJ10+AN10+AR10+AV10+BB10</f>
        <v>0</v>
      </c>
      <c r="R10" s="49" t="n">
        <f>BD10+BF10</f>
        <v>0</v>
      </c>
      <c r="S10" s="49" t="n">
        <f>W10</f>
        <v>0</v>
      </c>
      <c r="T10" s="49" t="n">
        <f>Y10+AC10+AG10+AK10+AO10+AS10+AW10+AY10</f>
        <v>0</v>
      </c>
      <c r="U10" s="49" t="n">
        <f>Z10+AD10+AH10+AL10+AP10+AT10+AZ10</f>
        <v>0</v>
      </c>
      <c r="V10" s="49" t="n">
        <f>BC10+BE10</f>
        <v>0</v>
      </c>
      <c r="W10" s="58"/>
      <c r="X10" s="58"/>
      <c r="Y10" s="64"/>
      <c r="Z10" s="64"/>
      <c r="AA10" s="64"/>
      <c r="AB10" s="64" t="n">
        <f>Z10*995</f>
        <v>0</v>
      </c>
      <c r="AC10" s="65"/>
      <c r="AD10" s="65"/>
      <c r="AE10" s="65"/>
      <c r="AF10" s="65" t="n">
        <f>AD10*995</f>
        <v>0</v>
      </c>
      <c r="AG10" s="64"/>
      <c r="AH10" s="64"/>
      <c r="AI10" s="64"/>
      <c r="AJ10" s="64" t="n">
        <f>AH10*995</f>
        <v>0</v>
      </c>
      <c r="AK10" s="68"/>
      <c r="AL10" s="68"/>
      <c r="AM10" s="68"/>
      <c r="AN10" s="68" t="n">
        <f>AL10*995</f>
        <v>0</v>
      </c>
      <c r="AO10" s="58"/>
      <c r="AP10" s="58"/>
      <c r="AQ10" s="58"/>
      <c r="AR10" s="58" t="n">
        <f>AP10*995</f>
        <v>0</v>
      </c>
      <c r="AS10" s="69"/>
      <c r="AT10" s="69"/>
      <c r="AU10" s="69"/>
      <c r="AV10" s="69" t="n">
        <f>AT10*995</f>
        <v>0</v>
      </c>
      <c r="AW10" s="65"/>
      <c r="AX10" s="65"/>
      <c r="AY10" s="74"/>
      <c r="AZ10" s="74"/>
      <c r="BA10" s="74"/>
      <c r="BB10" s="75" t="n">
        <f>AZ10*995</f>
        <v>0</v>
      </c>
      <c r="BC10" s="76"/>
      <c r="BD10" s="77" t="n">
        <f>BC10*320</f>
        <v>0</v>
      </c>
      <c r="BE10" s="58"/>
      <c r="BF10" s="58" t="n">
        <f>BE10*320</f>
        <v>0</v>
      </c>
      <c r="BG10" s="82" t="n">
        <f>SUM(BH10:BL10)</f>
        <v>0</v>
      </c>
      <c r="BH10" s="68"/>
      <c r="BI10" s="68"/>
      <c r="BJ10" s="68"/>
      <c r="BK10" s="68"/>
      <c r="BL10" s="68"/>
      <c r="BM10" s="95"/>
      <c r="BN10" s="48"/>
      <c r="BO10" s="48"/>
      <c r="BP10" s="48"/>
      <c r="BQ10" s="48"/>
      <c r="BR10" s="93" t="n">
        <f>SUM(BT10,BW10,BX10,BZ10,CB10)</f>
        <v>0</v>
      </c>
      <c r="BS10" s="58"/>
      <c r="BT10" s="94"/>
      <c r="BU10" s="74"/>
      <c r="BV10" s="74"/>
      <c r="BW10" s="96"/>
      <c r="BX10" s="96" t="n">
        <f>BV10*995</f>
        <v>0</v>
      </c>
      <c r="BY10" s="76"/>
      <c r="BZ10" s="98" t="n">
        <f>BY10*320</f>
        <v>0</v>
      </c>
      <c r="CA10" s="100"/>
      <c r="CB10" s="99" t="n">
        <f>CA10*320</f>
        <v>0</v>
      </c>
      <c r="CC10" s="48" t="n">
        <f>SUM(CD10:CH10)</f>
        <v>0</v>
      </c>
      <c r="CD10" s="68"/>
      <c r="CE10" s="68"/>
      <c r="CF10" s="68"/>
      <c r="CG10" s="68"/>
      <c r="CH10" s="108"/>
      <c r="CI10" s="109"/>
      <c r="CJ10" s="111"/>
      <c r="CK10" s="111"/>
      <c r="CL10" s="114"/>
    </row>
    <row r="11" s="6" customFormat="1" ht="30" customHeight="1">
      <c r="A11" s="23" t="n">
        <v>7</v>
      </c>
      <c r="B11" s="31"/>
      <c r="C11" s="25"/>
      <c r="D11" s="28"/>
      <c r="E11" s="28"/>
      <c r="F11" s="32"/>
      <c r="G11" s="28"/>
      <c r="H11" s="28"/>
      <c r="I11" s="50"/>
      <c r="J11" s="48"/>
      <c r="K11" s="48"/>
      <c r="L11" s="48"/>
      <c r="M11" s="48"/>
      <c r="N11" s="49" t="n">
        <f>O11+P11+Q11+R11</f>
        <v>0</v>
      </c>
      <c r="O11" s="49" t="n">
        <f>X11</f>
        <v>0</v>
      </c>
      <c r="P11" s="49" t="n">
        <f>AA11+AE11+AI11+AM11+AQ11+AU11+AX11+BA11</f>
        <v>0</v>
      </c>
      <c r="Q11" s="49" t="n">
        <f>AB11+AF11+AJ11+AN11+AR11+AV11+BB11</f>
        <v>0</v>
      </c>
      <c r="R11" s="49" t="n">
        <f>BD11+BF11</f>
        <v>0</v>
      </c>
      <c r="S11" s="49" t="n">
        <f>W11</f>
        <v>0</v>
      </c>
      <c r="T11" s="49" t="n">
        <f>Y11+AC11+AG11+AK11+AO11+AS11+AW11+AY11</f>
        <v>0</v>
      </c>
      <c r="U11" s="49" t="n">
        <f>Z11+AD11+AH11+AL11+AP11+AT11+AZ11</f>
        <v>0</v>
      </c>
      <c r="V11" s="49" t="n">
        <f>BC11+BE11</f>
        <v>0</v>
      </c>
      <c r="W11" s="58"/>
      <c r="X11" s="58"/>
      <c r="Y11" s="64"/>
      <c r="Z11" s="64"/>
      <c r="AA11" s="64"/>
      <c r="AB11" s="64" t="n">
        <f>Z11*995</f>
        <v>0</v>
      </c>
      <c r="AC11" s="65"/>
      <c r="AD11" s="65"/>
      <c r="AE11" s="65"/>
      <c r="AF11" s="65" t="n">
        <f>AD11*995</f>
        <v>0</v>
      </c>
      <c r="AG11" s="64"/>
      <c r="AH11" s="64"/>
      <c r="AI11" s="64"/>
      <c r="AJ11" s="64" t="n">
        <f>AH11*995</f>
        <v>0</v>
      </c>
      <c r="AK11" s="68"/>
      <c r="AL11" s="68"/>
      <c r="AM11" s="68"/>
      <c r="AN11" s="68" t="n">
        <f>AL11*995</f>
        <v>0</v>
      </c>
      <c r="AO11" s="58"/>
      <c r="AP11" s="58"/>
      <c r="AQ11" s="58"/>
      <c r="AR11" s="58" t="n">
        <f>AP11*995</f>
        <v>0</v>
      </c>
      <c r="AS11" s="69"/>
      <c r="AT11" s="69"/>
      <c r="AU11" s="69"/>
      <c r="AV11" s="69" t="n">
        <f>AT11*995</f>
        <v>0</v>
      </c>
      <c r="AW11" s="65"/>
      <c r="AX11" s="65"/>
      <c r="AY11" s="74"/>
      <c r="AZ11" s="74"/>
      <c r="BA11" s="74"/>
      <c r="BB11" s="75" t="n">
        <f>AZ11*995</f>
        <v>0</v>
      </c>
      <c r="BC11" s="76"/>
      <c r="BD11" s="77" t="n">
        <f>BC11*320</f>
        <v>0</v>
      </c>
      <c r="BE11" s="58"/>
      <c r="BF11" s="58" t="n">
        <f>BE11*320</f>
        <v>0</v>
      </c>
      <c r="BG11" s="82" t="n">
        <f>SUM(BH11:BL11)</f>
        <v>0</v>
      </c>
      <c r="BH11" s="68"/>
      <c r="BI11" s="68"/>
      <c r="BJ11" s="68"/>
      <c r="BK11" s="68"/>
      <c r="BL11" s="68"/>
      <c r="BM11" s="95"/>
      <c r="BN11" s="48"/>
      <c r="BO11" s="48"/>
      <c r="BP11" s="48"/>
      <c r="BQ11" s="48"/>
      <c r="BR11" s="93" t="n">
        <f>SUM(BT11,BW11,BX11,BZ11,CB11)</f>
        <v>0</v>
      </c>
      <c r="BS11" s="58"/>
      <c r="BT11" s="94"/>
      <c r="BU11" s="74"/>
      <c r="BV11" s="74"/>
      <c r="BW11" s="96"/>
      <c r="BX11" s="96" t="n">
        <f>BV11*995</f>
        <v>0</v>
      </c>
      <c r="BY11" s="76"/>
      <c r="BZ11" s="98" t="n">
        <f>BY11*320</f>
        <v>0</v>
      </c>
      <c r="CA11" s="100"/>
      <c r="CB11" s="99" t="n">
        <f>CA11*320</f>
        <v>0</v>
      </c>
      <c r="CC11" s="48" t="n">
        <f>SUM(CD11:CH11)</f>
        <v>0</v>
      </c>
      <c r="CD11" s="68"/>
      <c r="CE11" s="68"/>
      <c r="CF11" s="68"/>
      <c r="CG11" s="68"/>
      <c r="CH11" s="108"/>
      <c r="CI11" s="109"/>
      <c r="CJ11" s="111"/>
      <c r="CK11" s="111"/>
      <c r="CL11" s="114"/>
    </row>
    <row r="12" s="6" customFormat="1" ht="30" customHeight="1">
      <c r="A12" s="23" t="n">
        <v>8</v>
      </c>
      <c r="B12" s="31"/>
      <c r="C12" s="25"/>
      <c r="D12" s="28"/>
      <c r="E12" s="28"/>
      <c r="F12" s="32"/>
      <c r="G12" s="28"/>
      <c r="H12" s="28"/>
      <c r="I12" s="50"/>
      <c r="J12" s="48"/>
      <c r="K12" s="48"/>
      <c r="L12" s="48"/>
      <c r="M12" s="48"/>
      <c r="N12" s="49" t="n">
        <f>O12+P12+Q12+R12</f>
        <v>0</v>
      </c>
      <c r="O12" s="49" t="n">
        <f>X12</f>
        <v>0</v>
      </c>
      <c r="P12" s="49" t="n">
        <f>AA12+AE12+AI12+AM12+AQ12+AU12+AX12+BA12</f>
        <v>0</v>
      </c>
      <c r="Q12" s="49" t="n">
        <f>AB12+AF12+AJ12+AN12+AR12+AV12+BB12</f>
        <v>0</v>
      </c>
      <c r="R12" s="49" t="n">
        <f>BD12+BF12</f>
        <v>0</v>
      </c>
      <c r="S12" s="49" t="n">
        <f>W12</f>
        <v>0</v>
      </c>
      <c r="T12" s="49" t="n">
        <f>Y12+AC12+AG12+AK12+AO12+AS12+AW12+AY12</f>
        <v>0</v>
      </c>
      <c r="U12" s="49" t="n">
        <f>Z12+AD12+AH12+AL12+AP12+AT12+AZ12</f>
        <v>0</v>
      </c>
      <c r="V12" s="49" t="n">
        <f>BC12+BE12</f>
        <v>0</v>
      </c>
      <c r="W12" s="58"/>
      <c r="X12" s="58"/>
      <c r="Y12" s="64"/>
      <c r="Z12" s="64"/>
      <c r="AA12" s="64"/>
      <c r="AB12" s="64" t="n">
        <f>Z12*995</f>
        <v>0</v>
      </c>
      <c r="AC12" s="65"/>
      <c r="AD12" s="65"/>
      <c r="AE12" s="65"/>
      <c r="AF12" s="65" t="n">
        <f>AD12*995</f>
        <v>0</v>
      </c>
      <c r="AG12" s="64"/>
      <c r="AH12" s="64"/>
      <c r="AI12" s="64"/>
      <c r="AJ12" s="64" t="n">
        <f>AH12*995</f>
        <v>0</v>
      </c>
      <c r="AK12" s="68"/>
      <c r="AL12" s="68"/>
      <c r="AM12" s="68"/>
      <c r="AN12" s="68" t="n">
        <f>AL12*995</f>
        <v>0</v>
      </c>
      <c r="AO12" s="58"/>
      <c r="AP12" s="58"/>
      <c r="AQ12" s="58"/>
      <c r="AR12" s="58" t="n">
        <f>AP12*995</f>
        <v>0</v>
      </c>
      <c r="AS12" s="69"/>
      <c r="AT12" s="69"/>
      <c r="AU12" s="69"/>
      <c r="AV12" s="69" t="n">
        <f>AT12*995</f>
        <v>0</v>
      </c>
      <c r="AW12" s="65"/>
      <c r="AX12" s="65"/>
      <c r="AY12" s="74"/>
      <c r="AZ12" s="74"/>
      <c r="BA12" s="74"/>
      <c r="BB12" s="75" t="n">
        <f>AZ12*995</f>
        <v>0</v>
      </c>
      <c r="BC12" s="76"/>
      <c r="BD12" s="77" t="n">
        <f>BC12*320</f>
        <v>0</v>
      </c>
      <c r="BE12" s="58"/>
      <c r="BF12" s="58" t="n">
        <f>BE12*320</f>
        <v>0</v>
      </c>
      <c r="BG12" s="82" t="n">
        <f>SUM(BH12:BL12)</f>
        <v>0</v>
      </c>
      <c r="BH12" s="68"/>
      <c r="BI12" s="68"/>
      <c r="BJ12" s="68"/>
      <c r="BK12" s="68"/>
      <c r="BL12" s="68"/>
      <c r="BM12" s="95"/>
      <c r="BN12" s="48"/>
      <c r="BO12" s="48"/>
      <c r="BP12" s="48"/>
      <c r="BQ12" s="48"/>
      <c r="BR12" s="93" t="n">
        <f>SUM(BT12,BW12,BX12,BZ12,CB12)</f>
        <v>0</v>
      </c>
      <c r="BS12" s="58"/>
      <c r="BT12" s="94"/>
      <c r="BU12" s="74"/>
      <c r="BV12" s="74"/>
      <c r="BW12" s="96"/>
      <c r="BX12" s="96" t="n">
        <f>BV12*995</f>
        <v>0</v>
      </c>
      <c r="BY12" s="76"/>
      <c r="BZ12" s="98" t="n">
        <f>BY12*320</f>
        <v>0</v>
      </c>
      <c r="CA12" s="100"/>
      <c r="CB12" s="99" t="n">
        <f>CA12*320</f>
        <v>0</v>
      </c>
      <c r="CC12" s="48" t="n">
        <f>SUM(CD12:CH12)</f>
        <v>0</v>
      </c>
      <c r="CD12" s="68"/>
      <c r="CE12" s="68"/>
      <c r="CF12" s="68"/>
      <c r="CG12" s="68"/>
      <c r="CH12" s="108"/>
      <c r="CI12" s="109"/>
      <c r="CJ12" s="111"/>
      <c r="CK12" s="111"/>
      <c r="CL12" s="114"/>
    </row>
    <row r="13" s="6" customFormat="1" ht="30" customHeight="1">
      <c r="A13" s="23" t="n">
        <v>9</v>
      </c>
      <c r="B13" s="31"/>
      <c r="C13" s="25"/>
      <c r="D13" s="28"/>
      <c r="E13" s="28"/>
      <c r="F13" s="32"/>
      <c r="G13" s="28"/>
      <c r="H13" s="28"/>
      <c r="I13" s="50"/>
      <c r="J13" s="48"/>
      <c r="K13" s="48"/>
      <c r="L13" s="48"/>
      <c r="M13" s="48"/>
      <c r="N13" s="49" t="n">
        <f>O13+P13+Q13+R13</f>
        <v>0</v>
      </c>
      <c r="O13" s="49" t="n">
        <f>X13</f>
        <v>0</v>
      </c>
      <c r="P13" s="49" t="n">
        <f>AA13+AE13+AI13+AM13+AQ13+AU13+AX13+BA13</f>
        <v>0</v>
      </c>
      <c r="Q13" s="49" t="n">
        <f>AB13+AF13+AJ13+AN13+AR13+AV13+BB13</f>
        <v>0</v>
      </c>
      <c r="R13" s="49" t="n">
        <f>BD13+BF13</f>
        <v>0</v>
      </c>
      <c r="S13" s="49" t="n">
        <f>W13</f>
        <v>0</v>
      </c>
      <c r="T13" s="49" t="n">
        <f>Y13+AC13+AG13+AK13+AO13+AS13+AW13+AY13</f>
        <v>0</v>
      </c>
      <c r="U13" s="49" t="n">
        <f>Z13+AD13+AH13+AL13+AP13+AT13+AZ13</f>
        <v>0</v>
      </c>
      <c r="V13" s="49" t="n">
        <f>BC13+BE13</f>
        <v>0</v>
      </c>
      <c r="W13" s="58"/>
      <c r="X13" s="58"/>
      <c r="Y13" s="64"/>
      <c r="Z13" s="64"/>
      <c r="AA13" s="64"/>
      <c r="AB13" s="64" t="n">
        <f>Z13*995</f>
        <v>0</v>
      </c>
      <c r="AC13" s="65"/>
      <c r="AD13" s="65"/>
      <c r="AE13" s="65"/>
      <c r="AF13" s="65" t="n">
        <f>AD13*995</f>
        <v>0</v>
      </c>
      <c r="AG13" s="64"/>
      <c r="AH13" s="64"/>
      <c r="AI13" s="64"/>
      <c r="AJ13" s="64" t="n">
        <f>AH13*995</f>
        <v>0</v>
      </c>
      <c r="AK13" s="68"/>
      <c r="AL13" s="68"/>
      <c r="AM13" s="68"/>
      <c r="AN13" s="68" t="n">
        <f>AL13*995</f>
        <v>0</v>
      </c>
      <c r="AO13" s="58"/>
      <c r="AP13" s="58"/>
      <c r="AQ13" s="58"/>
      <c r="AR13" s="58" t="n">
        <f>AP13*995</f>
        <v>0</v>
      </c>
      <c r="AS13" s="69"/>
      <c r="AT13" s="69"/>
      <c r="AU13" s="69"/>
      <c r="AV13" s="69" t="n">
        <f>AT13*995</f>
        <v>0</v>
      </c>
      <c r="AW13" s="65"/>
      <c r="AX13" s="65"/>
      <c r="AY13" s="74"/>
      <c r="AZ13" s="74"/>
      <c r="BA13" s="74"/>
      <c r="BB13" s="75" t="n">
        <f>AZ13*995</f>
        <v>0</v>
      </c>
      <c r="BC13" s="76"/>
      <c r="BD13" s="77" t="n">
        <f>BC13*320</f>
        <v>0</v>
      </c>
      <c r="BE13" s="58"/>
      <c r="BF13" s="58" t="n">
        <f>BE13*320</f>
        <v>0</v>
      </c>
      <c r="BG13" s="82" t="n">
        <f>SUM(BH13:BL13)</f>
        <v>0</v>
      </c>
      <c r="BH13" s="68"/>
      <c r="BI13" s="68"/>
      <c r="BJ13" s="68"/>
      <c r="BK13" s="68"/>
      <c r="BL13" s="68"/>
      <c r="BM13" s="95"/>
      <c r="BN13" s="48"/>
      <c r="BO13" s="48"/>
      <c r="BP13" s="48"/>
      <c r="BQ13" s="48"/>
      <c r="BR13" s="93" t="n">
        <f>SUM(BT13,BW13,BX13,BZ13,CB13)</f>
        <v>0</v>
      </c>
      <c r="BS13" s="58"/>
      <c r="BT13" s="94"/>
      <c r="BU13" s="74"/>
      <c r="BV13" s="74"/>
      <c r="BW13" s="96"/>
      <c r="BX13" s="96" t="n">
        <f>BV13*995</f>
        <v>0</v>
      </c>
      <c r="BY13" s="76"/>
      <c r="BZ13" s="98" t="n">
        <f>BY13*320</f>
        <v>0</v>
      </c>
      <c r="CA13" s="100"/>
      <c r="CB13" s="99" t="n">
        <f>CA13*320</f>
        <v>0</v>
      </c>
      <c r="CC13" s="48" t="n">
        <f>SUM(CD13:CH13)</f>
        <v>0</v>
      </c>
      <c r="CD13" s="68"/>
      <c r="CE13" s="68"/>
      <c r="CF13" s="68"/>
      <c r="CG13" s="68"/>
      <c r="CH13" s="108"/>
      <c r="CI13" s="109"/>
      <c r="CJ13" s="111"/>
      <c r="CK13" s="111"/>
      <c r="CL13" s="114"/>
    </row>
    <row r="14" s="6" customFormat="1" ht="30" customHeight="1">
      <c r="A14" s="23" t="n">
        <v>10</v>
      </c>
      <c r="B14" s="31"/>
      <c r="C14" s="25"/>
      <c r="D14" s="28"/>
      <c r="E14" s="28"/>
      <c r="F14" s="32"/>
      <c r="G14" s="28"/>
      <c r="H14" s="28"/>
      <c r="I14" s="50"/>
      <c r="J14" s="48"/>
      <c r="K14" s="48"/>
      <c r="L14" s="48"/>
      <c r="M14" s="48"/>
      <c r="N14" s="49" t="n">
        <f>O14+P14+Q14+R14</f>
        <v>0</v>
      </c>
      <c r="O14" s="49" t="n">
        <f>X14</f>
        <v>0</v>
      </c>
      <c r="P14" s="49" t="n">
        <f>AA14+AE14+AI14+AM14+AQ14+AU14+AX14+BA14</f>
        <v>0</v>
      </c>
      <c r="Q14" s="49" t="n">
        <f>AB14+AF14+AJ14+AN14+AR14+AV14+BB14</f>
        <v>0</v>
      </c>
      <c r="R14" s="49" t="n">
        <f>BD14+BF14</f>
        <v>0</v>
      </c>
      <c r="S14" s="49" t="n">
        <f>W14</f>
        <v>0</v>
      </c>
      <c r="T14" s="49" t="n">
        <f>Y14+AC14+AG14+AK14+AO14+AS14+AW14+AY14</f>
        <v>0</v>
      </c>
      <c r="U14" s="49" t="n">
        <f>Z14+AD14+AH14+AL14+AP14+AT14+AZ14</f>
        <v>0</v>
      </c>
      <c r="V14" s="49" t="n">
        <f>BC14+BE14</f>
        <v>0</v>
      </c>
      <c r="W14" s="58"/>
      <c r="X14" s="58"/>
      <c r="Y14" s="64"/>
      <c r="Z14" s="64"/>
      <c r="AA14" s="64"/>
      <c r="AB14" s="64" t="n">
        <f>Z14*995</f>
        <v>0</v>
      </c>
      <c r="AC14" s="65"/>
      <c r="AD14" s="65"/>
      <c r="AE14" s="65"/>
      <c r="AF14" s="65" t="n">
        <f>AD14*995</f>
        <v>0</v>
      </c>
      <c r="AG14" s="64"/>
      <c r="AH14" s="64"/>
      <c r="AI14" s="64"/>
      <c r="AJ14" s="64" t="n">
        <f>AH14*995</f>
        <v>0</v>
      </c>
      <c r="AK14" s="68"/>
      <c r="AL14" s="68"/>
      <c r="AM14" s="68"/>
      <c r="AN14" s="68" t="n">
        <f>AL14*995</f>
        <v>0</v>
      </c>
      <c r="AO14" s="58"/>
      <c r="AP14" s="58"/>
      <c r="AQ14" s="58"/>
      <c r="AR14" s="58" t="n">
        <f>AP14*995</f>
        <v>0</v>
      </c>
      <c r="AS14" s="69"/>
      <c r="AT14" s="69"/>
      <c r="AU14" s="69"/>
      <c r="AV14" s="69" t="n">
        <f>AT14*995</f>
        <v>0</v>
      </c>
      <c r="AW14" s="65"/>
      <c r="AX14" s="65"/>
      <c r="AY14" s="74"/>
      <c r="AZ14" s="74"/>
      <c r="BA14" s="74"/>
      <c r="BB14" s="75" t="n">
        <f>AZ14*995</f>
        <v>0</v>
      </c>
      <c r="BC14" s="76"/>
      <c r="BD14" s="77" t="n">
        <f>BC14*320</f>
        <v>0</v>
      </c>
      <c r="BE14" s="58"/>
      <c r="BF14" s="58" t="n">
        <f>BE14*320</f>
        <v>0</v>
      </c>
      <c r="BG14" s="82" t="n">
        <f>SUM(BH14:BL14)</f>
        <v>0</v>
      </c>
      <c r="BH14" s="68"/>
      <c r="BI14" s="68"/>
      <c r="BJ14" s="68"/>
      <c r="BK14" s="68"/>
      <c r="BL14" s="68"/>
      <c r="BM14" s="95"/>
      <c r="BN14" s="48"/>
      <c r="BO14" s="48"/>
      <c r="BP14" s="48"/>
      <c r="BQ14" s="48"/>
      <c r="BR14" s="93" t="n">
        <f>SUM(BT14,BW14,BX14,BZ14,CB14)</f>
        <v>0</v>
      </c>
      <c r="BS14" s="58"/>
      <c r="BT14" s="94"/>
      <c r="BU14" s="74"/>
      <c r="BV14" s="74"/>
      <c r="BW14" s="96"/>
      <c r="BX14" s="96" t="n">
        <f>BV14*995</f>
        <v>0</v>
      </c>
      <c r="BY14" s="76"/>
      <c r="BZ14" s="98" t="n">
        <f>BY14*320</f>
        <v>0</v>
      </c>
      <c r="CA14" s="100"/>
      <c r="CB14" s="99" t="n">
        <f>CA14*320</f>
        <v>0</v>
      </c>
      <c r="CC14" s="48" t="n">
        <f>SUM(CD14:CH14)</f>
        <v>0</v>
      </c>
      <c r="CD14" s="68"/>
      <c r="CE14" s="68"/>
      <c r="CF14" s="68"/>
      <c r="CG14" s="68"/>
      <c r="CH14" s="108"/>
      <c r="CI14" s="56"/>
      <c r="CJ14" s="111"/>
      <c r="CK14" s="111"/>
      <c r="CL14" s="19"/>
    </row>
    <row r="15" ht="19.5" customHeight="1">
      <c r="A15" s="33"/>
      <c r="B15" s="33"/>
      <c r="C15" s="34"/>
      <c r="D15" s="33"/>
      <c r="E15" s="33"/>
      <c r="F15" s="33"/>
      <c r="G15" s="33"/>
      <c r="H15" s="33"/>
      <c r="I15" s="51"/>
      <c r="J15" s="51"/>
      <c r="K15" s="51"/>
      <c r="L15" s="51"/>
      <c r="M15" s="51"/>
      <c r="N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M15" s="33"/>
      <c r="BN15" s="51"/>
      <c r="BO15" s="51"/>
      <c r="BP15" s="51"/>
      <c r="BQ15" s="51"/>
      <c r="BR15" s="51"/>
      <c r="BS15" s="51"/>
      <c r="BT15" s="51"/>
      <c r="BU15" s="51"/>
      <c r="BV15" s="51"/>
      <c r="BW15" s="51"/>
      <c r="BX15" s="51"/>
      <c r="BY15" s="51"/>
      <c r="BZ15" s="51"/>
      <c r="CA15" s="51"/>
      <c r="CB15" s="51"/>
      <c r="CI15" s="33"/>
      <c r="CJ15" s="33"/>
      <c r="CK15" s="33"/>
      <c r="CL15" s="33"/>
    </row>
    <row r="16" s="8" customFormat="1" ht="213" customHeight="1">
      <c r="A16" s="35" t="s">
        <v>334</v>
      </c>
      <c r="B16" s="19"/>
      <c r="C16" s="19"/>
      <c r="D16" s="19"/>
      <c r="E16" s="19"/>
      <c r="F16" s="19"/>
      <c r="G16" s="19"/>
      <c r="H16" s="19"/>
      <c r="I16" s="52"/>
      <c r="J16" s="52"/>
      <c r="K16" s="52"/>
      <c r="L16" s="52"/>
      <c r="M16" s="52"/>
      <c r="N16" s="52"/>
      <c r="O16" s="36"/>
      <c r="P16" s="52"/>
      <c r="Q16" s="52"/>
      <c r="R16" s="52"/>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2"/>
      <c r="BH16" s="52"/>
      <c r="BI16" s="52"/>
      <c r="BJ16" s="52"/>
      <c r="BK16" s="52"/>
      <c r="BL16" s="52"/>
      <c r="BM16" s="52"/>
      <c r="BN16" s="52"/>
      <c r="BO16" s="52"/>
      <c r="BP16" s="52"/>
      <c r="BQ16" s="52"/>
      <c r="BR16" s="59"/>
      <c r="BS16" s="59"/>
      <c r="BT16" s="59"/>
      <c r="BU16" s="59"/>
      <c r="BV16" s="59"/>
      <c r="BW16" s="59"/>
      <c r="BX16" s="59"/>
      <c r="BY16" s="59"/>
      <c r="BZ16" s="59"/>
      <c r="CA16" s="59"/>
      <c r="CB16" s="59"/>
      <c r="CC16" s="52"/>
      <c r="CD16" s="52"/>
      <c r="CE16" s="52"/>
      <c r="CF16" s="52"/>
      <c r="CG16" s="52"/>
      <c r="CH16" s="52"/>
      <c r="CI16" s="52"/>
      <c r="CJ16" s="52"/>
      <c r="CK16" s="52"/>
      <c r="CL16" s="52"/>
    </row>
    <row r="17" ht="14.497499999999997" customHeight="1">
      <c r="C17" s="36"/>
    </row>
    <row r="18" ht="14.497499999999997" customHeight="1">
      <c r="C18" s="36"/>
    </row>
    <row r="19" ht="14.497499999999997" customHeight="1">
      <c r="C19" s="36"/>
    </row>
    <row r="20" ht="14.497499999999997" customHeight="1">
      <c r="C20" s="36"/>
    </row>
    <row r="21" ht="14.497499999999997" customHeight="1">
      <c r="C21" s="36"/>
    </row>
    <row r="22" ht="14.497499999999997" customHeight="1">
      <c r="C22" s="36"/>
    </row>
    <row r="23" ht="14.497499999999997" customHeight="1">
      <c r="C23" s="36"/>
    </row>
    <row r="24" ht="14.497499999999997" customHeight="1">
      <c r="C24" s="36"/>
    </row>
    <row r="25" ht="14.497499999999997" customHeight="1">
      <c r="C25" s="36"/>
    </row>
    <row r="26" ht="14.497499999999997" customHeight="1">
      <c r="C26" s="36"/>
    </row>
    <row r="27" ht="14.497499999999997" customHeight="1">
      <c r="C27" s="36"/>
    </row>
    <row r="28" ht="14.497499999999997" customHeight="1">
      <c r="C28" s="36"/>
    </row>
    <row r="29" ht="14.497499999999997" customHeight="1">
      <c r="C29" s="36"/>
    </row>
    <row r="30" ht="14.497499999999997" customHeight="1">
      <c r="C30" s="36"/>
    </row>
    <row r="31" ht="14.497499999999997" customHeight="1">
      <c r="C31" s="36"/>
    </row>
    <row r="32" ht="14.497499999999997" customHeight="1">
      <c r="C32" s="36"/>
    </row>
    <row r="33" ht="14.497499999999997" customHeight="1">
      <c r="C33" s="36"/>
    </row>
    <row r="34" ht="14.497499999999997" customHeight="1">
      <c r="C34" s="36"/>
    </row>
    <row r="35" ht="14.497499999999997" customHeight="1">
      <c r="C35" s="36"/>
    </row>
    <row r="36" ht="14.497499999999997" customHeight="1">
      <c r="C36" s="36"/>
    </row>
    <row r="37" ht="14.497499999999997" customHeight="1">
      <c r="C37" s="36"/>
    </row>
    <row r="38" ht="14.497499999999997" customHeight="1">
      <c r="C38" s="36"/>
    </row>
    <row r="39" ht="14.497499999999997" customHeight="1">
      <c r="C39" s="36"/>
    </row>
    <row r="40" ht="14.497499999999997" customHeight="1">
      <c r="C40" s="36"/>
    </row>
    <row r="41" ht="14.497499999999997" customHeight="1">
      <c r="C41" s="36"/>
    </row>
    <row r="42" ht="14.497499999999997" customHeight="1">
      <c r="C42" s="36"/>
    </row>
    <row r="43" ht="14.497499999999997" customHeight="1">
      <c r="C43" s="36"/>
    </row>
    <row r="44" ht="14.497499999999997" customHeight="1">
      <c r="C44" s="36"/>
    </row>
    <row r="45" ht="14.497499999999997" customHeight="1">
      <c r="C45" s="36"/>
    </row>
    <row r="46" ht="14.497499999999997" customHeight="1">
      <c r="C46" s="36"/>
    </row>
    <row r="47" ht="14.497499999999997" customHeight="1">
      <c r="C47" s="36"/>
    </row>
    <row r="48" ht="14.497499999999997" customHeight="1">
      <c r="C48" s="36"/>
    </row>
    <row r="49" ht="14.497499999999997" customHeight="1">
      <c r="C49" s="36"/>
    </row>
    <row r="50" ht="14.497499999999997" customHeight="1">
      <c r="C50" s="36"/>
    </row>
    <row r="51" ht="14.497499999999997" customHeight="1">
      <c r="C51" s="36"/>
    </row>
    <row r="52" ht="14.497499999999997" customHeight="1">
      <c r="C52" s="36"/>
    </row>
    <row r="53" ht="14.497499999999997" customHeight="1">
      <c r="C53" s="36"/>
    </row>
    <row r="54" ht="14.497499999999997" customHeight="1">
      <c r="C54" s="36"/>
    </row>
    <row r="55" ht="14.497499999999997" customHeight="1">
      <c r="C55" s="36"/>
    </row>
    <row r="56" ht="14.497499999999997" customHeight="1">
      <c r="C56" s="36"/>
    </row>
    <row r="57" ht="14.497499999999997" customHeight="1">
      <c r="C57" s="36"/>
    </row>
    <row r="58" ht="14.497499999999997" customHeight="1">
      <c r="C58" s="36"/>
    </row>
    <row r="59" ht="14.497499999999997" customHeight="1">
      <c r="C59" s="36"/>
    </row>
    <row r="60" ht="14.497499999999997" customHeight="1">
      <c r="C60" s="36"/>
    </row>
    <row r="61" ht="14.497499999999997" customHeight="1">
      <c r="C61" s="36"/>
    </row>
    <row r="62" ht="14.497499999999997" customHeight="1">
      <c r="C62" s="36"/>
    </row>
    <row r="63" ht="14.497499999999997" customHeight="1">
      <c r="C63" s="36"/>
    </row>
    <row r="64" ht="14.497499999999997" customHeight="1">
      <c r="C64" s="36"/>
    </row>
    <row r="65" ht="14.497499999999997" customHeight="1">
      <c r="C65" s="36"/>
    </row>
    <row r="66" ht="14.497499999999997" customHeight="1">
      <c r="C66" s="36"/>
    </row>
    <row r="67" ht="14.497499999999997" customHeight="1">
      <c r="C67" s="36"/>
    </row>
    <row r="68" ht="14.497499999999997" customHeight="1">
      <c r="C68" s="36"/>
    </row>
    <row r="69" ht="14.497499999999997" customHeight="1">
      <c r="C69" s="36"/>
    </row>
    <row r="70" ht="14.497499999999997" customHeight="1">
      <c r="C70" s="36"/>
    </row>
    <row r="71" ht="14.497499999999997" customHeight="1">
      <c r="C71" s="36"/>
    </row>
    <row r="72" ht="14.497499999999997" customHeight="1">
      <c r="C72" s="36"/>
    </row>
    <row r="73" ht="14.497499999999997" customHeight="1">
      <c r="C73" s="36"/>
    </row>
    <row r="74" ht="14.497499999999997" customHeight="1">
      <c r="C74" s="36"/>
    </row>
    <row r="75" ht="14.497499999999997" customHeight="1">
      <c r="C75" s="36"/>
    </row>
    <row r="76" ht="14.497499999999997" customHeight="1">
      <c r="C76" s="36"/>
    </row>
    <row r="77" ht="14.497499999999997" customHeight="1">
      <c r="C77" s="36"/>
    </row>
    <row r="78" ht="14.497499999999997" customHeight="1">
      <c r="C78" s="36"/>
    </row>
    <row r="79" ht="14.497499999999997" customHeight="1">
      <c r="C79" s="36"/>
    </row>
    <row r="80" ht="14.497499999999997" customHeight="1">
      <c r="C80" s="36"/>
    </row>
    <row r="81" ht="14.497499999999997" customHeight="1">
      <c r="C81" s="36"/>
    </row>
    <row r="82" ht="14.497499999999997" customHeight="1">
      <c r="C82" s="36"/>
    </row>
    <row r="83" ht="14.497499999999997" customHeight="1">
      <c r="C83" s="36"/>
    </row>
    <row r="84" ht="14.497499999999997" customHeight="1">
      <c r="C84" s="36"/>
    </row>
    <row r="85" ht="14.497499999999997" customHeight="1">
      <c r="C85" s="36"/>
    </row>
    <row r="86" ht="14.497499999999997" customHeight="1">
      <c r="C86" s="36"/>
    </row>
    <row r="87" ht="14.497499999999997" customHeight="1">
      <c r="C87" s="36"/>
    </row>
    <row r="88" ht="14.497499999999997" customHeight="1">
      <c r="C88" s="36"/>
    </row>
    <row r="89" ht="14.497499999999997" customHeight="1">
      <c r="C89" s="36"/>
    </row>
    <row r="90" ht="14.497499999999997" customHeight="1">
      <c r="C90" s="36"/>
    </row>
    <row r="91" ht="14.497499999999997" customHeight="1">
      <c r="C91" s="36"/>
    </row>
    <row r="92" ht="14.497499999999997" customHeight="1">
      <c r="C92" s="36"/>
    </row>
    <row r="93" ht="14.497499999999997" customHeight="1">
      <c r="C93" s="36"/>
    </row>
    <row r="94" ht="14.497499999999997" customHeight="1">
      <c r="C94" s="36"/>
    </row>
    <row r="95" ht="14.497499999999997" customHeight="1">
      <c r="C95" s="36"/>
    </row>
    <row r="96" ht="14.497499999999997" customHeight="1">
      <c r="C96" s="36"/>
    </row>
    <row r="97" ht="14.497499999999997" customHeight="1">
      <c r="C97" s="36"/>
    </row>
    <row r="98" ht="14.497499999999997" customHeight="1">
      <c r="C98" s="36"/>
    </row>
    <row r="99" ht="14.497499999999997" customHeight="1">
      <c r="C99" s="36"/>
    </row>
    <row r="100" ht="14.497499999999997" customHeight="1">
      <c r="C100" s="36"/>
    </row>
    <row r="101" ht="14.497499999999997" customHeight="1">
      <c r="C101" s="36"/>
    </row>
    <row r="102" ht="14.497499999999997" customHeight="1">
      <c r="C102" s="36"/>
    </row>
    <row r="103" ht="14.497499999999997" customHeight="1">
      <c r="C103" s="36"/>
    </row>
    <row r="104" ht="14.497499999999997" customHeight="1">
      <c r="C104" s="36"/>
    </row>
    <row r="105" ht="14.497499999999997" customHeight="1">
      <c r="C105" s="36"/>
    </row>
    <row r="106" ht="14.497499999999997" customHeight="1">
      <c r="C106" s="36"/>
    </row>
    <row r="107" ht="14.497499999999997" customHeight="1">
      <c r="C107" s="36"/>
    </row>
    <row r="108" ht="14.497499999999997" customHeight="1">
      <c r="C108" s="36"/>
    </row>
    <row r="109" ht="14.497499999999997" customHeight="1">
      <c r="C109" s="36"/>
    </row>
    <row r="110" ht="14.497499999999997" customHeight="1">
      <c r="C110" s="36"/>
    </row>
    <row r="111" ht="14.497499999999997" customHeight="1">
      <c r="C111" s="36"/>
    </row>
    <row r="112" ht="14.497499999999997" customHeight="1">
      <c r="C112" s="36"/>
    </row>
    <row r="113" ht="14.497499999999997" customHeight="1">
      <c r="C113" s="36"/>
    </row>
    <row r="114" ht="14.497499999999997" customHeight="1">
      <c r="C114" s="36"/>
    </row>
    <row r="115" ht="14.497499999999997" customHeight="1">
      <c r="C115" s="36"/>
    </row>
    <row r="116" ht="14.497499999999997" customHeight="1">
      <c r="C116" s="36"/>
    </row>
    <row r="117" ht="14.497499999999997" customHeight="1">
      <c r="C117" s="36"/>
    </row>
    <row r="118" ht="14.497499999999997" customHeight="1">
      <c r="C118" s="36"/>
    </row>
    <row r="119" ht="14.497499999999997" customHeight="1">
      <c r="C119" s="36"/>
    </row>
    <row r="120" ht="14.497499999999997" customHeight="1">
      <c r="C120" s="36"/>
    </row>
    <row r="121" ht="14.497499999999997" customHeight="1">
      <c r="C121" s="36"/>
    </row>
    <row r="122" ht="14.497499999999997" customHeight="1">
      <c r="C122" s="36"/>
    </row>
    <row r="123" ht="14.497499999999997" customHeight="1">
      <c r="C123" s="36"/>
    </row>
    <row r="124" ht="14.497499999999997" customHeight="1">
      <c r="C124" s="36"/>
    </row>
    <row r="125" ht="14.497499999999997" customHeight="1">
      <c r="C125" s="36"/>
    </row>
    <row r="126" ht="14.497499999999997" customHeight="1">
      <c r="C126" s="36"/>
    </row>
    <row r="127" ht="14.497499999999997" customHeight="1">
      <c r="C127" s="36"/>
    </row>
    <row r="128" ht="14.497499999999997" customHeight="1">
      <c r="C128" s="36"/>
    </row>
    <row r="129" ht="14.497499999999997" customHeight="1">
      <c r="C129" s="36"/>
    </row>
    <row r="130" ht="14.497499999999997" customHeight="1">
      <c r="C130" s="36"/>
    </row>
    <row r="131" ht="14.497499999999997" customHeight="1">
      <c r="C131" s="36"/>
    </row>
    <row r="132" ht="14.497499999999997" customHeight="1">
      <c r="C132" s="36"/>
    </row>
    <row r="133" ht="14.497499999999997" customHeight="1">
      <c r="C133" s="36"/>
    </row>
    <row r="134" ht="14.497499999999997" customHeight="1">
      <c r="C134" s="36"/>
    </row>
    <row r="135" ht="14.497499999999997" customHeight="1">
      <c r="C135" s="36"/>
    </row>
    <row r="136" ht="14.497499999999997" customHeight="1">
      <c r="C136" s="36"/>
    </row>
    <row r="137" ht="14.497499999999997" customHeight="1">
      <c r="C137" s="36"/>
    </row>
    <row r="138" ht="14.497499999999997" customHeight="1">
      <c r="C138" s="36"/>
    </row>
    <row r="139" ht="14.497499999999997" customHeight="1">
      <c r="C139" s="36"/>
    </row>
    <row r="140" ht="14.497499999999997" customHeight="1">
      <c r="C140" s="36"/>
    </row>
    <row r="141" ht="14.497499999999997" customHeight="1">
      <c r="C141" s="36"/>
    </row>
    <row r="142" ht="14.497499999999997" customHeight="1">
      <c r="C142" s="36"/>
    </row>
    <row r="143" ht="14.497499999999997" customHeight="1">
      <c r="C143" s="36"/>
    </row>
    <row r="144" ht="14.497499999999997" customHeight="1">
      <c r="C144" s="36"/>
    </row>
    <row r="145" ht="14.497499999999997" customHeight="1">
      <c r="C145" s="36"/>
    </row>
    <row r="146" ht="14.497499999999997" customHeight="1">
      <c r="C146" s="36"/>
    </row>
    <row r="147" ht="14.497499999999997" customHeight="1">
      <c r="C147" s="36"/>
    </row>
    <row r="148" ht="14.497499999999997" customHeight="1">
      <c r="C148" s="36"/>
    </row>
    <row r="149" ht="14.497499999999997" customHeight="1">
      <c r="C149" s="36"/>
    </row>
    <row r="150" ht="14.497499999999997" customHeight="1">
      <c r="C150" s="36"/>
    </row>
    <row r="151" ht="14.497499999999997" customHeight="1">
      <c r="C151" s="36"/>
    </row>
    <row r="152" ht="14.497499999999997" customHeight="1">
      <c r="C152" s="36"/>
    </row>
    <row r="153" ht="14.497499999999997" customHeight="1">
      <c r="C153" s="36"/>
    </row>
    <row r="154" ht="14.497499999999997" customHeight="1">
      <c r="C154" s="36"/>
    </row>
    <row r="155" ht="14.497499999999997" customHeight="1">
      <c r="C155" s="36"/>
    </row>
    <row r="156" ht="14.497499999999997" customHeight="1">
      <c r="C156" s="36"/>
    </row>
    <row r="157" ht="14.497499999999997" customHeight="1">
      <c r="C157" s="36"/>
    </row>
    <row r="158" ht="14.497499999999997" customHeight="1">
      <c r="C158" s="36"/>
    </row>
    <row r="159" ht="14.497499999999997" customHeight="1">
      <c r="C159" s="36"/>
    </row>
    <row r="160" ht="14.497499999999997" customHeight="1">
      <c r="C160" s="36"/>
    </row>
    <row r="161" ht="14.497499999999997" customHeight="1">
      <c r="C161" s="36"/>
    </row>
    <row r="162" ht="14.497499999999997" customHeight="1">
      <c r="C162" s="36"/>
    </row>
    <row r="163" ht="14.497499999999997" customHeight="1">
      <c r="C163" s="36"/>
    </row>
    <row r="164" ht="14.497499999999997" customHeight="1">
      <c r="C164" s="36"/>
    </row>
    <row r="165" ht="14.497499999999997" customHeight="1">
      <c r="C165" s="36"/>
    </row>
    <row r="166" ht="14.497499999999997" customHeight="1">
      <c r="C166" s="36"/>
    </row>
    <row r="167" ht="14.497499999999997" customHeight="1">
      <c r="C167" s="36"/>
    </row>
    <row r="168" ht="14.497499999999997" customHeight="1">
      <c r="C168" s="36"/>
    </row>
    <row r="169" ht="14.497499999999997" customHeight="1">
      <c r="C169" s="36"/>
    </row>
    <row r="170" ht="14.497499999999997" customHeight="1">
      <c r="C170" s="36"/>
    </row>
    <row r="171" ht="14.497499999999997" customHeight="1">
      <c r="C171" s="36"/>
    </row>
    <row r="172" ht="14.497499999999997" customHeight="1">
      <c r="C172" s="36"/>
    </row>
    <row r="173" ht="14.497499999999997" customHeight="1">
      <c r="C173" s="36"/>
    </row>
    <row r="174" ht="14.497499999999997" customHeight="1">
      <c r="C174" s="36"/>
    </row>
    <row r="175" ht="14.497499999999997" customHeight="1">
      <c r="C175" s="36"/>
    </row>
    <row r="176" ht="14.497499999999997" customHeight="1">
      <c r="C176" s="36"/>
    </row>
    <row r="177" ht="14.497499999999997" customHeight="1">
      <c r="C177" s="36"/>
    </row>
    <row r="178" ht="14.497499999999997" customHeight="1">
      <c r="C178" s="36"/>
    </row>
    <row r="179" ht="14.497499999999997" customHeight="1">
      <c r="C179" s="36"/>
    </row>
    <row r="180" ht="14.497499999999997" customHeight="1">
      <c r="C180" s="36"/>
    </row>
    <row r="181" ht="14.497499999999997" customHeight="1">
      <c r="C181" s="36"/>
    </row>
    <row r="182" ht="14.497499999999997" customHeight="1">
      <c r="C182" s="36"/>
    </row>
    <row r="183" ht="14.497499999999997" customHeight="1">
      <c r="C183" s="36"/>
    </row>
    <row r="184" ht="14.497499999999997" customHeight="1">
      <c r="C184" s="36"/>
    </row>
    <row r="185" ht="14.497499999999997" customHeight="1">
      <c r="C185" s="36"/>
    </row>
    <row r="186" ht="14.497499999999997" customHeight="1">
      <c r="C186" s="36"/>
    </row>
    <row r="187" ht="14.497499999999997" customHeight="1">
      <c r="C187" s="36"/>
    </row>
    <row r="188" ht="14.497499999999997" customHeight="1">
      <c r="C188" s="36"/>
    </row>
    <row r="189" ht="14.497499999999997" customHeight="1">
      <c r="C189" s="36"/>
    </row>
    <row r="190" ht="14.497499999999997" customHeight="1">
      <c r="C190" s="36"/>
    </row>
    <row r="191" ht="14.497499999999997" customHeight="1">
      <c r="C191" s="36"/>
    </row>
    <row r="192" ht="14.497499999999997" customHeight="1">
      <c r="C192" s="36"/>
    </row>
    <row r="193" ht="14.497499999999997" customHeight="1">
      <c r="C193" s="36"/>
    </row>
    <row r="194" ht="14.497499999999997" customHeight="1">
      <c r="C194" s="36"/>
    </row>
    <row r="195" ht="14.497499999999997" customHeight="1">
      <c r="C195" s="36"/>
    </row>
    <row r="196" ht="14.497499999999997" customHeight="1">
      <c r="C196" s="36"/>
    </row>
    <row r="197" ht="14.497499999999997" customHeight="1">
      <c r="C197" s="36"/>
    </row>
    <row r="198" ht="14.497499999999997" customHeight="1">
      <c r="C198" s="36"/>
    </row>
    <row r="199" ht="14.497499999999997" customHeight="1">
      <c r="C199" s="36"/>
    </row>
    <row r="200" ht="14.497499999999997" customHeight="1">
      <c r="C200" s="36"/>
    </row>
  </sheetData>
  <mergeCells count="30">
    <mergeCell ref="Y3:AB3"/>
    <mergeCell ref="A16:H16"/>
    <mergeCell ref="BC3:BD3"/>
    <mergeCell ref="BN3:BQ3"/>
    <mergeCell ref="CC3:CH3"/>
    <mergeCell ref="CJ3:CL3"/>
    <mergeCell ref="B3:H3"/>
    <mergeCell ref="AS3:AV3"/>
    <mergeCell ref="BM3:BM4"/>
    <mergeCell ref="BE3:BF3"/>
    <mergeCell ref="CL5:CL14"/>
    <mergeCell ref="AC3:AF3"/>
    <mergeCell ref="BG3:BK3"/>
    <mergeCell ref="W3:X3"/>
    <mergeCell ref="AY3:BB3"/>
    <mergeCell ref="AW3:AX3"/>
    <mergeCell ref="A1:H1"/>
    <mergeCell ref="AG3:AJ3"/>
    <mergeCell ref="BS3:BT3"/>
    <mergeCell ref="CI5:CI14"/>
    <mergeCell ref="A3:A4"/>
    <mergeCell ref="AK3:AN3"/>
    <mergeCell ref="CA3:CB3"/>
    <mergeCell ref="BU3:BX3"/>
    <mergeCell ref="A2:H2"/>
    <mergeCell ref="J3:M3"/>
    <mergeCell ref="BY3:BZ3"/>
    <mergeCell ref="N3:V3"/>
    <mergeCell ref="AO3:AR3"/>
    <mergeCell ref="CI3:CI4"/>
  </mergeCells>
  <phoneticPr fontId="1" type="noConversion"/>
  <dataValidations count="1">
    <dataValidation type="list" allowBlank="1" showInputMessage="1" showErrorMessage="1" prompt="㧐禵_x0002_" sqref="C2:C3 C5:C15 C17:C200">
      <formula1>"统一地址运营,数字孪生基座,数智网格化系统,地址资源运营平台,智域地图平台,空间聚合服务,警情时空分析,110实时警情定位服务,警务社区可视化平台,数据工程,数据资产,数据服务,数据运营,项目定制,项目分包"</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2026-08-12T17:19:09Z</dcterms:modified>
</cp:coreProperties>
</file>