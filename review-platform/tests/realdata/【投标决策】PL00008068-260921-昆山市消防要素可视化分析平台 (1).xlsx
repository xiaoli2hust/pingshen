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activeTab="2" xr2:uid="{752BAC88-3D22-6345-9E5D-6A586CA68B77}"/>
  </bookViews>
  <sheets>
    <sheet name="流程指引" sheetId="1" r:id="rId1" state="hidden"/>
    <sheet name="售前立项评审-信息收集与前置评审" sheetId="2" r:id="rId2" state="hidden"/>
    <sheet name="投标决策评审-信息收集与前置评审" sheetId="3" r:id="rId3"/>
    <sheet name="项目关键事项决策-信息收集与前置评审" sheetId="4" r:id="rId4" state="hidden"/>
    <sheet name="附1-预算表" sheetId="5" r:id="rId5"/>
    <sheet name="附2-产品与服务清单" sheetId="6" r:id="rId6"/>
    <sheet name="附3-交付成本评估" sheetId="7" r:id="rId7"/>
    <sheet name="附4-运维成本评估（决算用）" sheetId="8" r:id="rId8" state="hidden"/>
  </sheets>
  <calcPr calcId="0"/>
</workbook>
</file>

<file path=xl/sharedStrings.xml><?xml version="1.0" encoding="utf-8"?>
<sst xmlns="http://schemas.openxmlformats.org/spreadsheetml/2006/main">
  <si>
    <t>商机-项目关键节点评审管理流程指引</t>
  </si>
  <si>
    <t>版本：V1.0  |  生效日期：2026年  月  日  |  编制：李晓  |  审核：CMO/企划办</t>
  </si>
  <si>
    <t>一、管理目的与适用范围</t>
  </si>
  <si>
    <t>本流程指引旨在规范公司商机-项目全生命周期关键节点的评审管控，覆盖市场营销部、G1和B2业务线。通过建立标准化的评审规则与红黄绿灯分级机制，实现项目风险的前置识别、分级管控与高效决策，确保公司项目质量与经营安全。
适用范围：公司所有商机-项目，涵盖以下四大关键节点：①POC投入  ②售前立项评审  ③投标决策评审  ④项目关键事项决策
评审分级：部门级项目评审会（常规项目）→ XO级项目评审会（重大/高风险项目）。触发XO级评审的场景详见各环节具体规则。</t>
  </si>
  <si>
    <t>二、红黄绿灯分级评审机制</t>
  </si>
  <si>
    <t>绿灯（免上会）</t>
  </si>
  <si>
    <t>所有评审指标均满足"免上会"标准 → 项目无需上会评审，智能体评审为绿灯后即可通过，直接推进至下一阶段。市场营销支持处留档备查。</t>
  </si>
  <si>
    <t>黄灯（上会决策）</t>
  </si>
  <si>
    <t>存在一项或多项指标触发"上会决策"标准 → 项目需提交至线下评审会进行决策。会议分级：部门级评审会（常规黄灯项目）或XO级评审会（触发XO级升级条件的项目）。</t>
  </si>
  <si>
    <t>红灯（红线禁止）</t>
  </si>
  <si>
    <t>存在任一指标触发"红线禁止"标准 → 项目打回，要求销售/项目经理与客户重新协商调整后再次提交评审。红线项不可豁免。</t>
  </si>
  <si>
    <t>三、各环节评审流程详述</t>
  </si>
  <si>
    <t>3.1  项目POC投入（邮件审批）</t>
  </si>
  <si>
    <t/>
  </si>
  <si>
    <t>事项</t>
  </si>
  <si>
    <t>申请人</t>
  </si>
  <si>
    <t>审批方式</t>
  </si>
  <si>
    <t>审批人</t>
  </si>
  <si>
    <t>审批要点</t>
  </si>
  <si>
    <t>分级</t>
  </si>
  <si>
    <t>使用模板</t>
  </si>
  <si>
    <t>后续动作</t>
  </si>
  <si>
    <t>备注</t>
  </si>
  <si>
    <t>项目POC投入</t>
  </si>
  <si>
    <t>销售经理</t>
  </si>
  <si>
    <t>邮件审批</t>
  </si>
  <si>
    <t>区域交付负责人</t>
  </si>
  <si>
    <t>销售经理发送邮件申请，由区域交付负责人评估交付资源情况，确认资源OK后安排交付。</t>
  </si>
  <si>
    <t>无分级
（不纳入红黄绿灯机制）</t>
  </si>
  <si>
    <t>《POC投入申请表》</t>
  </si>
  <si>
    <t>交付完成后归档</t>
  </si>
  <si>
    <t>未在产品POC范围内的售前投入，均需完成售前立项评审</t>
  </si>
  <si>
    <t>3.2  售前立项评审（项目评审委员会决策）</t>
  </si>
  <si>
    <t>【流程步骤】
Step 1  信息收集：销售经理/项目经理填写《售前立项评审-信息收集与前置评审表》的"项目基础信息"及"可由销售经理/项目经理判断的规则指标"，提交至销售支持组。
Step 2  前置评审：销售支持组 分发至各业务/职能部门（交付负责人、业财、采购经理、法务、公共事务等），各部门在规定时间内完成各自负责指标的核实与风险判定，针对无法量化指标需填写前置评审意见及红黄绿灯等级。
Step 3  风险评定：销售支持组汇总前置评审意见表，并使用评审智能体进行项目风险评定，输出项目灯态和风险报告（红、黄灯需输出）。
Step 4  分类处理：
          · 绿灯项目 → 免上会，邮件输出智能体评审结论并留档备查，项目推进至下一阶段。
          · 红灯项目 → 打回，销售经理与客户重新协商，调整后可再次提交。
          · 黄灯项目 → 进入线下评审会，根据触发条件确定会议级别（部门级/XO级）。
Step 5  评审决策：评审会输出决策结果，销售支持组/企划办归档并跟踪后续执行。</t>
  </si>
  <si>
    <t>协同人</t>
  </si>
  <si>
    <t>前置评审成员</t>
  </si>
  <si>
    <t>部门级决策机制</t>
  </si>
  <si>
    <t>XO级决策机制</t>
  </si>
  <si>
    <t>部门级提报机制</t>
  </si>
  <si>
    <t>XO级提报机制</t>
  </si>
  <si>
    <t>评审后续</t>
  </si>
  <si>
    <t>项目经理、解决方案</t>
  </si>
  <si>
    <t>《售前立项评审-信息收集与前置评审表》
《项目贡献毛利率及成本预算表》</t>
  </si>
  <si>
    <t>交付负责人、产研负责人、财务BP、采购BP、法务、公共事务等</t>
  </si>
  <si>
    <t>决策方式：部门级项目评审会
会议周期：每周二
主述人：销售经理
决策人：部门级项目评审委员会
主办组织：销售支持组</t>
  </si>
  <si>
    <t>决策方式：XO级项目评审会
会议周期：每周五
主述人：销售经理
决策人：XO级项目评审委员会
主办组织：企划办</t>
  </si>
  <si>
    <t>提报路径：销售经理→销售支持组
部门级时间要求：
①提前1周进行项目提报
②提前2个工作日完成材料提交，材料提交前可自行通过智能体判断项目灯态
③每周一销售支持组汇总智能体项目灯态，绿灯项目免上会，红灯项目驳回，黄灯项目注意项目关键风险点评审会决策，并邮件发出</t>
  </si>
  <si>
    <t>提报路径：销售经理→销售支持组
时间要求：提前完成部门级评审会</t>
  </si>
  <si>
    <t>评审通过后，由项目经理发起PMS项目建立申请，将评审决策文件、项目贡献毛利率及成本预算表（初算）作为审批附件上传；由交付负责人审批通过</t>
  </si>
  <si>
    <t>3.3  投标决策评审（项目评审委员会决策）</t>
  </si>
  <si>
    <t>【流程步骤】
Step 1  信息收集：销售经理填写《投标决策评审-信息收集与前置评审表》的"项目基础信息"及"可由销售经理判断的规则指标"，提交至销售支持组。
Step 2  前置评审：销售支持组 分发至各业务/职能部门（交付负责人、业财、采购经理、法务、公共事务等），各部门在规定时间内完成各自负责指标的核实与风险判定，针对无法量化指标需填写前置评审意见及红黄绿灯等级。
Step 3  风险评定：销售支持组汇总前置评审意见表，并使用评审智能体进行项目风险评定，输出项目灯态和风险报告（红、黄灯需输出）。
Step 4  分类处理：
          · 绿灯项目 → 免上会，邮件输出智能体评审结论并留档备查，项目推进至下一阶段。
          · 红灯项目 → 打回，销售经理与客户重新协商，调整后可再次提交。
          · 黄灯项目 → 进入线下评审会，根据触发条件确定会议级别（部门级/XO级）。
Step 5  评审决策：评审会输出决策结果，销售支持组/企划办归档并跟踪后续执行。</t>
  </si>
  <si>
    <t>《投标决策评审-信息收集与前置评审表》
《项目贡献毛利率及成本预算表》</t>
  </si>
  <si>
    <t>评审通过后，由项目经理发起PMS项目建立申请，将评审决策文件、项目贡献毛利率及成本预算表（概算）作为审批附件上传；由交付负责人审批通过。
评审不通过且前期已有预投入，需项目经理进行PMS项目关闭，通知项目组成员在3个工作日内完成收尾。</t>
  </si>
  <si>
    <t>3.4  项目关键事项决策（项目评审委员会决策）</t>
  </si>
  <si>
    <t>【流程步骤】
Step 1  信息收集：项目经理填写《项目关键事项决策-信息收集与前置评审表》的"项目基础信息"及"可由项目经理判断的规则指标"，提交至销售支持组。
Step 2  前置评审：销售支持组 分发至各业务/职能部门（交付负责人、业财、采购经理、法务、公共事务等），各部门在规定时间内完成各自负责指标的核实与风险判定，针对无法量化指标需填写前置评审意见及红黄绿灯等级。
Step 3  风险评定：销售支持组汇总前置评审意见表，并使用评审智能体进行项目风险评定，输出项目灯态和风险报告（红、黄灯需输出）。
Step 4  分类处理：
          · 绿灯项目 → 免上会，邮件输出智能体评审结论并留档备查，项目推进至下一阶段。
          · 红灯项目 → 打回，销售经理与客户重新协商，调整后可再次提交。
          · 黄灯项目 → 进入线下评审会，根据触发条件确定会议级别（部门级/XO级）。
Step 5  评审决策：评审会输出决策结果，销售支持组/企划办归档并跟踪后续执行。</t>
  </si>
  <si>
    <t>项目经理</t>
  </si>
  <si>
    <t>《项目关键事项决策-信息收集与前置评审表》
《项目贡献毛利率及成本预算表》
《项目变更申请表》（如涉及变更）</t>
  </si>
  <si>
    <t>区域交付负责人、项目管理部负责人、业财、采购经理（如有）</t>
  </si>
  <si>
    <t>决策方式：部门级项目评审会
会议周期：每周二
主述人：项目经理
决策人：部门级项目评审委员会
主办组织：项目管理部</t>
  </si>
  <si>
    <t>决策方式：XO级项目评审会
会议周期：每周五
主述人：项目管理部负责人
决策人：XO级项目评审委员会
主办组织：企划办</t>
  </si>
  <si>
    <t>提报路径：项目经理→销售支持组
时间要求：
①提前5个工作日进行提报
②提前2个工作日完成材料提交
③每周一销售支持组汇总智能体项目灯态，绿灯项目免上会，红灯项目驳回，黄灯项目注意项目关键风险点评审会决策，并邮件发出</t>
  </si>
  <si>
    <t>提报路径：项目经理→销售支持组
时间要求：
提前完成部门级评审会</t>
  </si>
  <si>
    <t>评审通过后，由项目经理发起PMS项目变更申请（如涉及变更），将评审决策文件、项目贡献毛利率及成本预算表（变更版）作为审批附件上传；由交付负责人审批通过。</t>
  </si>
  <si>
    <t>四、触发XO级评审会的场景（部门级 → XO级升级条件）</t>
  </si>
  <si>
    <t>序号</t>
  </si>
  <si>
    <t>触发场景</t>
  </si>
  <si>
    <t>升级级别</t>
  </si>
  <si>
    <t>1</t>
  </si>
  <si>
    <t>项目运维周期：大于3年</t>
  </si>
  <si>
    <t>XO级</t>
  </si>
  <si>
    <t>2</t>
  </si>
  <si>
    <t>存在指定供应商</t>
  </si>
  <si>
    <t>3</t>
  </si>
  <si>
    <t>部门级评审意见未达成一致</t>
  </si>
  <si>
    <t>4</t>
  </si>
  <si>
    <t>毛利维度：项目贡献毛利率＜0%</t>
  </si>
  <si>
    <t>5</t>
  </si>
  <si>
    <t>合同金额：大于500万</t>
  </si>
  <si>
    <t>6</t>
  </si>
  <si>
    <t>提前投入大于50万</t>
  </si>
  <si>
    <t>7</t>
  </si>
  <si>
    <t>过单项目（分包比例大于70%）</t>
  </si>
  <si>
    <t>8</t>
  </si>
  <si>
    <t>项目合同存在提供担保或为他人提供担保</t>
  </si>
  <si>
    <t>9</t>
  </si>
  <si>
    <t>项目合同存在竞业等事项</t>
  </si>
  <si>
    <t>10</t>
  </si>
  <si>
    <t>存在项目推广激励（to对外，比例≥15%或金额≥30w）</t>
  </si>
  <si>
    <t>11</t>
  </si>
  <si>
    <t>存在项目推广激励（to顺丰体系内、激励制度规则条款外）</t>
  </si>
  <si>
    <t>五、关键角色与职责</t>
  </si>
  <si>
    <t>角色</t>
  </si>
  <si>
    <t>职责说明</t>
  </si>
  <si>
    <t>售前立项/投标决策的发起人，负责填写项目基础信息及可判断的指标，与客户协商调整红灯事项</t>
  </si>
  <si>
    <t>项目关键事项决策的发起人，配合售前阶段技术评审，负责PMS项目建立/变更申请</t>
  </si>
  <si>
    <t>FDE工程师</t>
  </si>
  <si>
    <t>前置评审中负责技术可行性、交付资源等业务维度指标的核实与判断</t>
  </si>
  <si>
    <t>财务BP</t>
  </si>
  <si>
    <t>前置评审中负责贡献利润、付款条件、客户信用、关联交易等财务维度指标的核实与判断</t>
  </si>
  <si>
    <t>采购BP</t>
  </si>
  <si>
    <t>前置评审中负责分包合理性、指定供应商、下游资质等采购维度指标的核实与判断</t>
  </si>
  <si>
    <t>法务</t>
  </si>
  <si>
    <t>前置评审中负责签约路径合规、知识产权、数据合规安全、担保竞业等法务维度指标的核实与判断</t>
  </si>
  <si>
    <t>合规BP</t>
  </si>
  <si>
    <t>前置评审中负责测绘合规、资质证照等合规维度指标的核实与判断</t>
  </si>
  <si>
    <t>销售支持BP</t>
  </si>
  <si>
    <t>部门级评审的组织方，负责信息收集表分发、前置评审协调、灯态汇总、会议组织及决策归档</t>
  </si>
  <si>
    <t>企划办</t>
  </si>
  <si>
    <t>XO级评审的组织方，负责XO级评审会的组织与决策归档</t>
  </si>
  <si>
    <t>售前立项评审 — 信息收集与前置评审表</t>
  </si>
  <si>
    <t>商机名称</t>
  </si>
  <si>
    <t>昆山市消防要素可视化分析平台</t>
  </si>
  <si>
    <t>商机代码</t>
  </si>
  <si>
    <t>PL00008068</t>
  </si>
  <si>
    <t>最终客户名称</t>
  </si>
  <si>
    <t>昆山市消防救援大队</t>
  </si>
  <si>
    <t>商机阶段</t>
  </si>
  <si>
    <t>提前投入</t>
  </si>
  <si>
    <t>业务线</t>
  </si>
  <si>
    <t>G1</t>
  </si>
  <si>
    <t>营销区域</t>
  </si>
  <si>
    <t>华北营销处-区域</t>
  </si>
  <si>
    <t>预计合同金额（万元）</t>
  </si>
  <si>
    <t>预计签单时间</t>
  </si>
  <si>
    <t>陈俊</t>
  </si>
  <si>
    <t>樊茫</t>
  </si>
  <si>
    <t>项目概述</t>
  </si>
  <si>
    <r>
      <rPr>
        <color rgb="FF000000"/>
        <rFont val="微软雅黑"/>
        <sz val="9.5"/>
      </rPr>
      <t xml:space="preserve">当前，昆山市消防救援大队已建成 “火眼系统”，具备火灾风险单位智能研判、火灾警情实时监测等能力，汇聚了重点单位、历史火情、隐患排查等海量消防业务数据。但系统存在业务数据与空间地理信息脱节、风险分布不直观、应急调度缺乏空间底图支撑、多源数据难以一体化分析等问题，无法满足现代化消防 “精准监管、快速响应、科学决策” 需求。为激活 “火眼系统” 数据价值，推进智慧城市与智慧消防建设，亟需建设昆山市消防要素可视化分析平台，通过空间网格关联、GIS 底图可视化及多维度数据分析，实现火眼系统风险、警情、隐患、资源等数据与地理空间深度融合，构建消防要素 “一张图” 统管模式，全面提升全市火灾风险防控、应急救援指挥和消防治理精细化水平。
</t>
    </r>
    <r>
      <rPr>
        <color rgb="FFFF0000"/>
        <rFont val="微软雅黑"/>
        <sz val="9.5"/>
      </rPr>
      <t xml:space="preserve">提前投入共计3.13万元，明细如下：
①项目经理：正编投入1人，3.5人天，5936元。
②交付岗位：正编投入1人，15人天，25440元。</t>
    </r>
  </si>
  <si>
    <r>
      <rPr>
        <b/>
        <color rgb="FF1F3864"/>
        <rFont val="微软雅黑"/>
        <sz val="9.5"/>
      </rPr>
      <t xml:space="preserve">是否涉及测绘</t>
    </r>
    <r>
      <rPr>
        <b/>
        <color rgb="FF1F3864"/>
        <rFont val="微软雅黑"/>
        <sz val="6"/>
      </rPr>
      <t xml:space="preserve">（涉及外业采集或地图）</t>
    </r>
  </si>
  <si>
    <t>否</t>
  </si>
  <si>
    <t>是否涉及分包提前进场</t>
  </si>
  <si>
    <t>预计售前投入成本（万元）</t>
  </si>
  <si>
    <t>预计售前实施周期</t>
  </si>
  <si>
    <t>1个月</t>
  </si>
  <si>
    <t>Part B：非量化类关键评审指标-前置评审</t>
  </si>
  <si>
    <t>评审维度
（部门）</t>
  </si>
  <si>
    <t>评判指标</t>
  </si>
  <si>
    <t>辅助指标/说明</t>
  </si>
  <si>
    <t>绿灯标准
（免上会）</t>
  </si>
  <si>
    <t>黄灯标准
（上会决策）</t>
  </si>
  <si>
    <t>红灯标准
（红线禁止）</t>
  </si>
  <si>
    <t>风险等级
（红/黄/绿）</t>
  </si>
  <si>
    <t>前置评审意见</t>
  </si>
  <si>
    <t>前置评审人
（签字）</t>
  </si>
  <si>
    <t>部门评审↓</t>
  </si>
  <si>
    <t>业务</t>
  </si>
  <si>
    <t>技术可行性</t>
  </si>
  <si>
    <t>无技术风险</t>
  </si>
  <si>
    <t>存在交付侧技术风险，但在客户需求边界/预期交付边界控制的情况下，可完成交付</t>
  </si>
  <si>
    <t>技术侧无法交付，因成本/资质问题无法分包</t>
  </si>
  <si>
    <t>绿灯</t>
  </si>
  <si>
    <t>同意，定制化开发</t>
  </si>
  <si>
    <t>何明</t>
  </si>
  <si>
    <t>交付资源风险</t>
  </si>
  <si>
    <t>客户侧要求的售前投入交付节点及周期</t>
  </si>
  <si>
    <t>资源无风险</t>
  </si>
  <si>
    <t>交付实施资源当前周期内存在明确缺口</t>
  </si>
  <si>
    <t>同意，无资源风险</t>
  </si>
  <si>
    <t>合规</t>
  </si>
  <si>
    <t>合同交付物（测绘项目）</t>
  </si>
  <si>
    <t>涉及外业采集或地图数据</t>
  </si>
  <si>
    <t>合同交付物无外业采集和地图数据相关内容</t>
  </si>
  <si>
    <t>合同交付物有外业采集和地图数据相关内容</t>
  </si>
  <si>
    <t>不涉及</t>
  </si>
  <si>
    <t>/</t>
  </si>
  <si>
    <t>采购</t>
  </si>
  <si>
    <t>存在分包提前投入</t>
  </si>
  <si>
    <t>分包提前介入</t>
  </si>
  <si>
    <t>财务</t>
  </si>
  <si>
    <t>客户过往合作信誉</t>
  </si>
  <si>
    <t>过往投入转单率</t>
  </si>
  <si>
    <t>无诉讼欠款、无逾期欠款、无沉默的历史交付成本</t>
  </si>
  <si>
    <t>存在逾期欠款 or 存在沉默的历史交付成本</t>
  </si>
  <si>
    <t>存在未完结诉讼（直接+间接）
存在历史坏账</t>
  </si>
  <si>
    <t>1）无逾期欠款，但若今年无法签单，则影响今年利润-3.13万</t>
  </si>
  <si>
    <t>洪慧敏</t>
  </si>
  <si>
    <t>投标决策评审 — 信息收集与前置评审表</t>
  </si>
  <si>
    <t>Part A：项目基础信息（由申请人填写）</t>
  </si>
  <si>
    <t>投标</t>
  </si>
  <si>
    <t>预计贡献毛利率（%）</t>
  </si>
  <si>
    <t>项目已发生成本（万元）</t>
  </si>
  <si>
    <t>项目运维周期</t>
  </si>
  <si>
    <t>2年</t>
  </si>
  <si>
    <r>
      <rPr>
        <b/>
        <color rgb="FF1F3864"/>
        <rFont val="微软雅黑"/>
        <sz val="9.5"/>
      </rPr>
      <t xml:space="preserve">是否存在转包限制</t>
    </r>
    <r>
      <rPr>
        <b/>
        <color rgb="FF1F3864"/>
        <rFont val="微软雅黑"/>
        <sz val="6"/>
      </rPr>
      <t xml:space="preserve">（客户/客户上游禁止转包）</t>
    </r>
  </si>
  <si>
    <t>项目建设内容：当前，昆山市消防救援大队已建成 “火眼系统”，具备火灾风险单位智能研判、火灾警情实时监测等能力，汇聚了重点单位、历史火情、隐患排查等海量消防业务数据。但系统存在业务数据与空间地理信息脱节、风险分布不直观、应急调度缺乏空间底图支撑、多源数据难以一体化分析等问题，无法满足现代化消防 “精准监管、快速响应、科学决策” 需求。为激活 “火眼系统” 数据价值，推进智慧城市与智慧消防建设，亟需建设昆山市消防要素可视化分析平台，通过空间网格关联、GIS 底图可视化及多维度数据分析，实现火眼系统风险、警情、隐患、资源等数据与地理空间深度融合，构建消防要素 “一张图” 统管模式，全面提升全市火灾风险防控、应急救援指挥和消防治理精细化水平。
项目对丰图的价值：对丰图而言，是公司在昆山市迈向公共安全垂直领域的战略支点：以昆山市空间数据底座为基础，打通其它垂直业务部门落地的示范路径；推动通用时空底座向业务赋能演进；同时带动商业形态由一次性建设向「平台 + 数据 + 运营」持续服务升级。</t>
  </si>
  <si>
    <t>签约路径</t>
  </si>
  <si>
    <t>昆山数字智能科技有限公司→丰图科技（深圳）有限公司</t>
  </si>
  <si>
    <t>是否涉及甲导资质</t>
  </si>
  <si>
    <r>
      <rPr>
        <b/>
        <color rgb="FF1F3864"/>
        <rFont val="微软雅黑"/>
        <sz val="10"/>
      </rPr>
      <t xml:space="preserve">是否涉密项目</t>
    </r>
    <r>
      <rPr>
        <color rgb="FF1F3864"/>
        <rFont val="微软雅黑"/>
        <sz val="8"/>
      </rPr>
      <t xml:space="preserve">（涉及保密资质，涉密项目请先联系保密办）</t>
    </r>
  </si>
  <si>
    <t>分包总金额（万元）</t>
  </si>
  <si>
    <t>指定类分包金额（万元）</t>
  </si>
  <si>
    <t>测绘类分包金额（万元）</t>
  </si>
  <si>
    <t>分包是否涉及公司核心能力</t>
  </si>
  <si>
    <t>项目推广激励面向对象</t>
  </si>
  <si>
    <t>内部</t>
  </si>
  <si>
    <t>项目推广激励（万元）</t>
  </si>
  <si>
    <t>结算方式</t>
  </si>
  <si>
    <t>银行转账</t>
  </si>
  <si>
    <t>预计回款时间</t>
  </si>
  <si>
    <t>预计26年Q4回款30%，27年Q2回款60%，29年Q2回款10%</t>
  </si>
  <si>
    <t>付款条件</t>
  </si>
  <si>
    <t>①首付款：合同签订15个工作日内，乙方开具发票送达甲方后，30个工作日内，甲方支付合同金额的30%；②验收款：项目验收合格并正式交付使用后，乙方开具发票送达甲方后，30个工作日内，甲方支
付合同总额的_60%作为进度款。③尾款：系统正常运行2年后无重大质量问题且经甲方确认，乙方开具发票送达甲方后，30个工作日内，甲方支付10%的合同余款。</t>
  </si>
  <si>
    <t>合同背靠背场景</t>
  </si>
  <si>
    <t>回款+验收=均非背靠背</t>
  </si>
  <si>
    <t>确收方式及预估确收时间</t>
  </si>
  <si>
    <t>终验100%确收，预计27年Q2终验</t>
  </si>
  <si>
    <t>合同是否存在提供担保或为他人提供担保</t>
  </si>
  <si>
    <t>合同是否存在竞业条款</t>
  </si>
  <si>
    <t>合同是否有转包限制</t>
  </si>
  <si>
    <t>项目是否涉及硬件所有权归属</t>
  </si>
  <si>
    <t>是否涉及SF小哥相关业务</t>
  </si>
  <si>
    <t>是否涉及数据跨境传输或红线禁止数据</t>
  </si>
  <si>
    <t>项目所在地省份</t>
  </si>
  <si>
    <t>江苏省</t>
  </si>
  <si>
    <t>产品售卖类型</t>
  </si>
  <si>
    <t>非标品</t>
  </si>
  <si>
    <t>B2业务类型</t>
  </si>
  <si>
    <t>请选择</t>
  </si>
  <si>
    <t>标品售价标准</t>
  </si>
  <si>
    <t>不涉及标品</t>
  </si>
  <si>
    <t>是否涉及数据评审</t>
  </si>
  <si>
    <t>预期实现方式</t>
  </si>
  <si>
    <t>自主进行技术开发与系统集成，按 "网格管理平台 → 消防GIS可视化展示" 两大模块实施建设，统一交付后由甲方验收。</t>
  </si>
  <si>
    <t>数据交付字段/内容</t>
  </si>
  <si>
    <t>不涉及独立数据交付。项目交付物为软件系统、代码及技术文档；</t>
  </si>
  <si>
    <t>数据合规性审查内容</t>
  </si>
  <si>
    <t>无</t>
  </si>
  <si>
    <t>业务/采购</t>
  </si>
  <si>
    <t>分包合理性</t>
  </si>
  <si>
    <t>分包能力是否核心能力、是否指定性、付款条款不合理、下游分包方资质</t>
  </si>
  <si>
    <t>非公司核心能力分包，且非指定性分包、测绘类项目下游分包方有测绘资质、付款条款为背靠背、供应商资质合格</t>
  </si>
  <si>
    <t>公司核心能力被分包（指定性分包需上XO级）、付款条款不为背靠背、测绘类项目下游供应商无测绘资质、供应商资质不合格等</t>
  </si>
  <si>
    <r>
      <rPr>
        <color rgb="FF000000"/>
        <rFont val="宋体"/>
        <sz val="11"/>
      </rPr>
      <t xml:space="preserve">指定供应商苏州长平，为原客户火眼系统的建设单位，本次分包内容为系统对接接口开放，</t>
    </r>
    <r>
      <rPr>
        <color rgb="FFFF0000"/>
        <rFont val="宋体"/>
        <sz val="11"/>
      </rPr>
      <t xml:space="preserve">费用为固定费用5万，请业务部门确认。</t>
    </r>
  </si>
  <si>
    <t>采购BP/FDE</t>
  </si>
  <si>
    <t>存在交付侧技术风险，但在客户需求边界/预期交付边界控制情况下可完成交付</t>
  </si>
  <si>
    <t>同意</t>
  </si>
  <si>
    <t>客户历史欠款</t>
  </si>
  <si>
    <t>逾期天数/逾期金额</t>
  </si>
  <si>
    <t>无；或存在终验款和质保金逾期，销售愿意背书在90天内拿回终验款</t>
  </si>
  <si>
    <t>其他逾期款情况</t>
  </si>
  <si>
    <t>签约客户/最终客户信用评估</t>
  </si>
  <si>
    <t>客户评级制度、工商公开信息等</t>
  </si>
  <si>
    <t>政府/央企/国有企业等优质客户
非国有小微企业满足：成立≥5年、人员≥10、近三月有中标、法人无失信、无诉讼</t>
  </si>
  <si>
    <t>"皮包公司"或财政和资金状况较差</t>
  </si>
  <si>
    <t>黑名单客户</t>
  </si>
  <si>
    <t>集团公司关联交易金额</t>
  </si>
  <si>
    <t>年度关联交易预算金额</t>
  </si>
  <si>
    <t>累计关联交易预算金额≤100w</t>
  </si>
  <si>
    <t>累计关联交易预算金额＞100w</t>
  </si>
  <si>
    <t>1、明确有预付款条款，且约定具体付款期间
2、硬件销售部分100%预付
3、软件销售部分100%预付或**%预付，验收后10日内支付剩余</t>
  </si>
  <si>
    <t>1、无预付条款，或无约定具体付款期间
2、硬件销售部分非100%预付，但无垫资（供应商承担）
3、软件销售部分不满足免上会条件，且非背靠背</t>
  </si>
  <si>
    <t>1、硬件销售部分非100%预付，存在垫资
2、软件销售部分为背靠背</t>
  </si>
  <si>
    <t>1、毛利风险较低：贡毛＞0%，高于基准线；
2、回款风险较低：政府直签项目，昆山数字智能科技有限公司其他合作项目回款情况良好；
3、售前投入：截止到2026年8月31日，交付投入2.8万；
4、确收方式：终验确收；
5、回款条件：首付款30%，验收60%，2年质保10%（预计26年回30%）</t>
  </si>
  <si>
    <t>上游签约路径公司情况</t>
  </si>
  <si>
    <t>异常经营记录、营业执照、失信名单、与丰图之间是否存在诉讼、被执行记录、行政处罚记录</t>
  </si>
  <si>
    <t>1、无异常记录
2、与丰图无诉讼案件；或诉讼中丰图为第三人，不涉及义务承担
3、无被执行记录；或已执行完毕且与项目无关
4、无处罚记录；或非近三年已履行完毕且与项目无关</t>
  </si>
  <si>
    <t>1、与丰图有诉讼案件，但丰图为第三人涉及义务承担、已判决/和解但款项未完全支付、或已完结
2、有执行纪录，近三年已执行完毕，与项目相关或涉及金钱给付
3、有行政处罚纪录，但近三年已履行完毕且与项目无关或不涉及资质处罚</t>
  </si>
  <si>
    <t>1、存在异常经营记录；营业执照被吊销；列入失信名单；被提起破产清算等
2、与丰图有诉讼案件，且丰图作为原告/被告，未开庭/未和解
3、有执行纪录，且执行中状态；未履行义务；列入失信被执行人
4、有行政处罚纪录，且未履行完毕；涉及资质处罚</t>
  </si>
  <si>
    <t>1、截至20260921，与昆山数字智能科技有限公司之间无诉讼，无相关异常经营情形；
2、已公示《昆山数字智能科技有限公司关于昆山市消防要素可视化分析平台项目竞争性谈判采购公告》，金额35万。</t>
  </si>
  <si>
    <t>转包限制风险</t>
  </si>
  <si>
    <t>客户转包或丰图直签分包限制</t>
  </si>
  <si>
    <t>丰图内部关联交易无需二次评审</t>
  </si>
  <si>
    <t>有背靠背转移风险约定且可转移给供应商</t>
  </si>
  <si>
    <t>背靠背约定但丰图自行交付/供应商无法满足风险转移，违约责任超X万</t>
  </si>
  <si>
    <t>合规风险</t>
  </si>
  <si>
    <t>甲测/甲导资质风险、审图风险、涉密项目资质风险</t>
  </si>
  <si>
    <r>
      <rPr>
        <color rgb="FF548235"/>
        <rFont val="微软雅黑"/>
        <sz val="8"/>
      </rPr>
      <t xml:space="preserve">1. 无风险；</t>
    </r>
    <r>
      <t xml:space="preserve">
</t>
    </r>
    <r>
      <rPr>
        <color rgb="FF548235"/>
        <rFont val="微软雅黑"/>
        <sz val="8"/>
      </rPr>
      <t xml:space="preserve">2. 已有管控举措。风险可控，不影响丰图资质。</t>
    </r>
  </si>
  <si>
    <r>
      <rPr>
        <color rgb="FFBF8F00"/>
        <rFont val="微软雅黑"/>
        <sz val="8"/>
      </rPr>
      <t xml:space="preserve">1. 风险存在不确定性；</t>
    </r>
    <r>
      <t xml:space="preserve">
</t>
    </r>
    <r>
      <rPr>
        <color rgb="FFBF8F00"/>
        <rFont val="微软雅黑"/>
        <sz val="8"/>
      </rPr>
      <t xml:space="preserve">2. 对资质存在明确影响，但不严重，影响范围可接受。</t>
    </r>
  </si>
  <si>
    <t>对资质存在明确影响，非常严重，影响范围不可接受。</t>
  </si>
  <si>
    <t>不涉及保密资质</t>
  </si>
  <si>
    <t>数据</t>
  </si>
  <si>
    <t>数据合规性</t>
  </si>
  <si>
    <t>数据风险等级C1-3</t>
  </si>
  <si>
    <t>数据风险等级C4</t>
  </si>
  <si>
    <t>明确禁止</t>
  </si>
  <si>
    <t>项目不涉及数据交付</t>
  </si>
  <si>
    <t>数据BP</t>
  </si>
  <si>
    <t>项目关键事项决策 — 信息收集与前置评审表</t>
  </si>
  <si>
    <t>Part A：项目基础信息（由申请人填写-不涉及可直接留/）</t>
  </si>
  <si>
    <t>项目名称</t>
  </si>
  <si>
    <t>项目代码</t>
  </si>
  <si>
    <t>G1 / B2 / G2（请选择）</t>
  </si>
  <si>
    <t>最终客户</t>
  </si>
  <si>
    <t>项目阶段</t>
  </si>
  <si>
    <t>原合同金额（万元）</t>
  </si>
  <si>
    <t>原贡献毛利率（%）</t>
  </si>
  <si>
    <t>决策事项类型</t>
  </si>
  <si>
    <t>决策事项概述</t>
  </si>
  <si>
    <t>涉及 签单与投标决策差异 / 项目成本变动 / 分包变化 时填写</t>
  </si>
  <si>
    <t>变更后合同金额（万元）</t>
  </si>
  <si>
    <t>变更后贡献毛利率（%）</t>
  </si>
  <si>
    <t>原分包金额</t>
  </si>
  <si>
    <t>变更后分包金额</t>
  </si>
  <si>
    <t>原交付成本</t>
  </si>
  <si>
    <t>变更后交付成本</t>
  </si>
  <si>
    <t>原销售成本</t>
  </si>
  <si>
    <t>变更后销售成本</t>
  </si>
  <si>
    <t>是否涉及分包合同超进度支付</t>
  </si>
  <si>
    <t>是 / 否（如有，请说明情况）</t>
  </si>
  <si>
    <t>是否涉及签约路径变化</t>
  </si>
  <si>
    <t>是否涉及交付内容变化</t>
  </si>
  <si>
    <t>财务/法务</t>
  </si>
  <si>
    <t>签单与评审的签约差异</t>
  </si>
  <si>
    <t>签约路径/客户变化但无风险</t>
  </si>
  <si>
    <t>签约路径/客户变化且有风险</t>
  </si>
  <si>
    <t>财务BP/法务</t>
  </si>
  <si>
    <t>项目核减</t>
  </si>
  <si>
    <t>因交付内容减少、考核扣分等合理原因导致的审计核减</t>
  </si>
  <si>
    <t>因化债导致的合同金额核减
因非合理原因导致的核减</t>
  </si>
  <si>
    <t>昆山市消防要素可视化分析平台-预算表（项目经理提供数据； 单位：元）</t>
  </si>
  <si>
    <t>所属部门</t>
  </si>
  <si>
    <t>泛政业务一部</t>
  </si>
  <si>
    <t>项目名称（内部）</t>
  </si>
  <si>
    <t>商务经理</t>
  </si>
  <si>
    <t>渠道调节系数</t>
  </si>
  <si>
    <t>所属营销大区</t>
  </si>
  <si>
    <t>华北营销处</t>
  </si>
  <si>
    <t>客户名称</t>
  </si>
  <si>
    <t>昆山市消防大队</t>
  </si>
  <si>
    <t>FT20260246</t>
  </si>
  <si>
    <t>预计开始时间</t>
  </si>
  <si>
    <t>预计终验时间</t>
  </si>
  <si>
    <t>运维周期（质保期）</t>
  </si>
  <si>
    <t>投标决策</t>
  </si>
  <si>
    <t>项目难度系数</t>
  </si>
  <si>
    <t>成本测算</t>
  </si>
  <si>
    <t>合同金额</t>
  </si>
  <si>
    <t>项目收入</t>
  </si>
  <si>
    <t>分包采购成本</t>
  </si>
  <si>
    <t>软件类生产外包</t>
  </si>
  <si>
    <t>项目净收入</t>
  </si>
  <si>
    <r>
      <rPr>
        <color rgb="FFFFFFFF"/>
        <rFont val="微软雅黑"/>
        <sz val="10"/>
      </rPr>
      <t xml:space="preserve">交付成本</t>
    </r>
    <r>
      <rPr>
        <color rgb="FFFFFFFF"/>
        <rFont val="微软雅黑"/>
        <sz val="9"/>
      </rPr>
      <t xml:space="preserve">
（含数据类生产外包）</t>
    </r>
  </si>
  <si>
    <t>标品成本</t>
  </si>
  <si>
    <t>毛利/率测算</t>
  </si>
  <si>
    <t>灵活用工</t>
  </si>
  <si>
    <r>
      <rPr>
        <color rgb="FFFFFFFF"/>
        <rFont val="微软雅黑"/>
        <sz val="10"/>
      </rPr>
      <t xml:space="preserve">销售成本</t>
    </r>
    <r>
      <rPr>
        <color rgb="FFFFFFFF"/>
        <rFont val="微软雅黑"/>
        <sz val="9"/>
      </rPr>
      <t xml:space="preserve">
（含税金，不含激励）</t>
    </r>
  </si>
  <si>
    <r>
      <rPr>
        <color rgb="FFFFFFFF"/>
        <rFont val="微软雅黑"/>
        <sz val="10"/>
      </rPr>
      <t xml:space="preserve">销售考核利润</t>
    </r>
    <r>
      <rPr>
        <color rgb="FFFFFFFF"/>
        <rFont val="微软雅黑"/>
        <sz val="9"/>
      </rPr>
      <t xml:space="preserve">
（含税金，不含激励）</t>
    </r>
  </si>
  <si>
    <t>销售考核毛利率</t>
  </si>
  <si>
    <r>
      <rPr>
        <color rgb="FFFFFFFF"/>
        <rFont val="微软雅黑"/>
        <sz val="10"/>
      </rPr>
      <t xml:space="preserve">贡献毛利</t>
    </r>
    <r>
      <rPr>
        <color rgb="FFFFFFFF"/>
        <rFont val="微软雅黑"/>
        <sz val="9"/>
      </rPr>
      <t xml:space="preserve">
（已扣除激励）</t>
    </r>
  </si>
  <si>
    <t>贡献毛利率</t>
  </si>
  <si>
    <r>
      <rPr>
        <color rgb="FFFFFFFF"/>
        <rFont val="微软雅黑"/>
        <sz val="10"/>
      </rPr>
      <t xml:space="preserve">交付成本占净收入比</t>
    </r>
    <r>
      <rPr>
        <color rgb="FFFFFFFF"/>
        <rFont val="微软雅黑"/>
        <sz val="9"/>
      </rPr>
      <t xml:space="preserve">
（与决算偏差±10%以内）</t>
    </r>
  </si>
  <si>
    <t>销售总成本占净收入比</t>
  </si>
  <si>
    <t>成本大类</t>
  </si>
  <si>
    <t>成本小类</t>
  </si>
  <si>
    <t>计算逻辑说明</t>
  </si>
  <si>
    <t>成本小计</t>
  </si>
  <si>
    <t>成本占项目收入比</t>
  </si>
  <si>
    <t>成本评估备注</t>
  </si>
  <si>
    <t>分成分包</t>
  </si>
  <si>
    <t>1、项目集成分包、项目日常运维分包费用
2、定制化软件开发的分包费用
3、技术服务费</t>
  </si>
  <si>
    <t>公司名称：苏州长平信息科技有限公司，火情数据接口对接，5万元；</t>
  </si>
  <si>
    <t>软件类生产相关的内、外业人员的生产外包人力成本</t>
  </si>
  <si>
    <t>丰图产品不具备交付能力但是从项目层面需要进行包装整合。比如三维建模，BIM数据生产。</t>
  </si>
  <si>
    <t>小创云等灵活用工平台的费用预算</t>
  </si>
  <si>
    <t>从净收入中剔除，即【净收入=收入-分包-软件类生产外包-灵活用工】</t>
  </si>
  <si>
    <t>销售成本</t>
  </si>
  <si>
    <t>人力成本</t>
  </si>
  <si>
    <t>自有人员</t>
  </si>
  <si>
    <t>自有市场营销部人员成本（含销售、解决方案、CMO办公室、招投标组人力成本）</t>
  </si>
  <si>
    <r>
      <rPr>
        <color rgb="FF000000"/>
        <rFont val="微软雅黑"/>
        <sz val="10"/>
      </rPr>
      <t xml:space="preserve">按财务最新发布，</t>
    </r>
    <r>
      <rPr>
        <color rgb="FF000000"/>
        <rFont val="微软雅黑"/>
        <sz val="10"/>
      </rPr>
      <t xml:space="preserve">26年销售人力标准成本</t>
    </r>
    <r>
      <rPr>
        <color rgb="FF000000"/>
        <rFont val="微软雅黑"/>
        <sz val="10"/>
      </rPr>
      <t xml:space="preserve">=净签单/万*1727元。
示例：某项目合同总额500万，分包300万，26年销售人力标准成本=（500-300）*1727=345400元。</t>
    </r>
  </si>
  <si>
    <t>销售费用包</t>
  </si>
  <si>
    <t>差旅费</t>
  </si>
  <si>
    <t>项目客户拜访等发生的差旅（需包含解决方案成本）</t>
  </si>
  <si>
    <t>招待费</t>
  </si>
  <si>
    <t>项目客户拜访等发生的招待费用（需包含解决方案成本）</t>
  </si>
  <si>
    <t>预算招待费用1万元</t>
  </si>
  <si>
    <t>市场营销</t>
  </si>
  <si>
    <t>市场营销费用、投标阶段的专家费等</t>
  </si>
  <si>
    <t>税金</t>
  </si>
  <si>
    <t>税后收入*1％（已设置公式，自动计算）</t>
  </si>
  <si>
    <t>销售及售前激励</t>
  </si>
  <si>
    <r>
      <rPr>
        <b/>
        <color rgb="FF00B050"/>
        <rFont val="微软雅黑"/>
        <sz val="10"/>
      </rPr>
      <t xml:space="preserve">销售考核利润（不含激励）*7.7%（包含销售与售前的激励）
（已设置公式，自动计算）</t>
    </r>
  </si>
  <si>
    <t>*部分银行项目销售及售前激励=销售考核利润（不含激励）*5.7%*0.4</t>
  </si>
  <si>
    <t>交付成本</t>
  </si>
  <si>
    <t>1、用于本项目交付实施的技术架构、研发、产品经理、交付运营、测试、运维等自有员工成本（需包含项目运维成本）</t>
  </si>
  <si>
    <t>
预计交付岗位：正编投入17.5人天，19680元。</t>
  </si>
  <si>
    <t>研发外包</t>
  </si>
  <si>
    <r>
      <rPr>
        <b/>
        <color rgb="FF00B050"/>
        <rFont val="微软雅黑"/>
        <sz val="10"/>
      </rPr>
      <t xml:space="preserve">1、用于本项目交付实施的项目助理、研发、产品经理、交付运营、测试、运维等外包员工成本</t>
    </r>
  </si>
  <si>
    <t>预计投入：
①前端外包：预计投入50人天，50*995=49750元
②后端外报：预计投入11人天，11*995=10945
元
③运维：预计投入5人天，5*995=4975元
④运维阶段：研发外包5人天，5*995=4975元</t>
  </si>
  <si>
    <t>生产人员成本</t>
  </si>
  <si>
    <t>数据类生产外包</t>
  </si>
  <si>
    <t>数据类生产相关的内、外业人员的生产外包人力成本</t>
  </si>
  <si>
    <t>丰图产品具备交付能力只是用了生产资源来执行交付。比如地址治理，地图生产，数据服务交付运营等</t>
  </si>
  <si>
    <t>差旅招待</t>
  </si>
  <si>
    <t>项目实施人员出差的长途交通费+补助+住宿费（酒店、租房、物业水电费）</t>
  </si>
  <si>
    <t>预计研发交通差旅：
700*2*2=2800元</t>
  </si>
  <si>
    <t>项目管理费</t>
  </si>
  <si>
    <t>项目经理自有人员人力成本</t>
  </si>
  <si>
    <t>项目经理：
交付阶段预计投入20人天：20*1696=33920元
运维阶段预计投入5人天：5*1696=8480元</t>
  </si>
  <si>
    <t>差旅、市内交通</t>
  </si>
  <si>
    <t>预计投入项目经理交通差旅：
700*2*2=2800元</t>
  </si>
  <si>
    <t>关键里程碑、验收推动招待费用</t>
  </si>
  <si>
    <t>推动项目验收，实施招待预计1000元</t>
  </si>
  <si>
    <t>项目验收</t>
  </si>
  <si>
    <t>项目技术评审专家费等</t>
  </si>
  <si>
    <t>项目验收聘请一名外部专家，预算1000元</t>
  </si>
  <si>
    <t>综合办公</t>
  </si>
  <si>
    <t>项目资料打印、资料邮寄、设备邮寄相关的快递费；项目实施需要采购的办公耗材，如插线板、路由器等；办公资产采购等</t>
  </si>
  <si>
    <t>验收材料打印预计1000元</t>
  </si>
  <si>
    <t>专业服务</t>
  </si>
  <si>
    <t>审计律师费用、顾问费用、其它咨询费用</t>
  </si>
  <si>
    <t>制表人：</t>
  </si>
  <si>
    <t>复核人：</t>
  </si>
  <si>
    <r>
      <rPr>
        <color rgb="FF000000"/>
        <rFont val="微软雅黑"/>
        <sz val="11"/>
      </rPr>
      <t xml:space="preserve">填写说明：</t>
    </r>
    <r>
      <rPr>
        <color rgb="FFF5C400"/>
        <rFont val="微软雅黑"/>
        <sz val="11"/>
      </rPr>
      <t xml:space="preserve">标黄</t>
    </r>
    <r>
      <rPr>
        <color rgb="FF000000"/>
        <rFont val="微软雅黑"/>
        <sz val="11"/>
      </rPr>
      <t xml:space="preserve">的部分为需人工填写，白色区域有公式带出对应数值。</t>
    </r>
  </si>
  <si>
    <t>填写责任人：解决方案
前置输入项：交付成本清单（功能项需映射标准产品名称）</t>
  </si>
  <si>
    <t>一、产品份额表</t>
  </si>
  <si>
    <t>项目名称：</t>
  </si>
  <si>
    <t>产品名称</t>
  </si>
  <si>
    <t>产品刊例价（元）</t>
  </si>
  <si>
    <t>产品报价（元）</t>
  </si>
  <si>
    <r>
      <rPr>
        <color rgb="FFFFFFFF"/>
        <rFont val="Microsoft YaHei"/>
        <sz val="10"/>
      </rPr>
      <t xml:space="preserve">产品折扣</t>
    </r>
    <r>
      <rPr>
        <color rgb="FFF2F2F2"/>
        <rFont val="Microsoft YaHei"/>
        <sz val="10"/>
      </rPr>
      <t xml:space="preserve">（=D/C）</t>
    </r>
  </si>
  <si>
    <t>产品交付成本（元）</t>
  </si>
  <si>
    <t>产品交付总人天</t>
  </si>
  <si>
    <t>产品毛利</t>
  </si>
  <si>
    <t>说明</t>
  </si>
  <si>
    <t>注：</t>
  </si>
  <si>
    <t>从已有的标准产品清单目录中选择</t>
  </si>
  <si>
    <t>参考标准报价</t>
  </si>
  <si>
    <t>建设方案报价单金额</t>
  </si>
  <si>
    <t>=产品报价/产品刊例价</t>
  </si>
  <si>
    <t>基于实施成本分拆，总成本&lt;=实施总成本</t>
  </si>
  <si>
    <t>交付成本人天数</t>
  </si>
  <si>
    <t>（=1-产品交付成本/（产品报价/1.06））</t>
  </si>
  <si>
    <t>特殊折扣说明</t>
  </si>
  <si>
    <t>统一地址运营</t>
  </si>
  <si>
    <t>项目定制</t>
  </si>
  <si>
    <t>项目分包</t>
  </si>
  <si>
    <t>固定行</t>
  </si>
  <si>
    <t>项目合计</t>
  </si>
  <si>
    <t>项目金额汇总</t>
  </si>
  <si>
    <t>交付成本汇总</t>
  </si>
  <si>
    <t>交付人天汇总</t>
  </si>
  <si>
    <t>项目毛利
（注：不含销售成本/项目经理/项目管理成本等）</t>
  </si>
  <si>
    <t>注：此处项目毛利≠项目贡毛（不含销售成本/项目经理/项目管理成本等）</t>
  </si>
  <si>
    <t>合计值</t>
  </si>
  <si>
    <t>二、产品细项表</t>
  </si>
  <si>
    <t>注：标品份额细拆（产品功能模块、刊例价、报价、折扣、功能模块说明）</t>
  </si>
  <si>
    <t>标准产品明细</t>
  </si>
  <si>
    <t>产品模块</t>
  </si>
  <si>
    <t>产品刊例价</t>
  </si>
  <si>
    <t>产品报价</t>
  </si>
  <si>
    <t>产品折扣</t>
  </si>
  <si>
    <t>产品交付总成本</t>
  </si>
  <si>
    <t>产品交付-产研人天（正编+外包）</t>
  </si>
  <si>
    <t>产品交付-生产外包人天</t>
  </si>
  <si>
    <t>标准产品方案的明细拆分</t>
  </si>
  <si>
    <t>=产品金额/产品刊例价</t>
  </si>
  <si>
    <t>1-1</t>
  </si>
  <si>
    <t>地址标准化治理工程</t>
  </si>
  <si>
    <t>1-2</t>
  </si>
  <si>
    <t>地址资源运营平台</t>
  </si>
  <si>
    <t>地址服务平台</t>
  </si>
  <si>
    <t>1-3</t>
  </si>
  <si>
    <t>数据更新服务</t>
  </si>
  <si>
    <t>2-1</t>
  </si>
  <si>
    <t>2-2</t>
  </si>
  <si>
    <t>项目名称：昆山GA动态巡防系统</t>
  </si>
  <si>
    <t>解决方案评估</t>
  </si>
  <si>
    <t>标品研发负责人评估</t>
  </si>
  <si>
    <t>1.0 实施阶段- 销售成本</t>
  </si>
  <si>
    <t>1.1  实施阶段- 交付人力成本</t>
  </si>
  <si>
    <t>① 项目经理：</t>
  </si>
  <si>
    <t>② 产品售前岗：</t>
  </si>
  <si>
    <t>③ 产 品 岗：</t>
  </si>
  <si>
    <t>④ 前 端 岗：</t>
  </si>
  <si>
    <t>⑤ 后 端 岗：</t>
  </si>
  <si>
    <t>⑥ 大数据开发岗：</t>
  </si>
  <si>
    <t>⑦ 交 付 岗：</t>
  </si>
  <si>
    <t>⑧ 架 构：</t>
  </si>
  <si>
    <t>⑨ 其他：测试、UI、实施中运维投入</t>
  </si>
  <si>
    <t>⑩ 生产外包-数据类：</t>
  </si>
  <si>
    <t>⑪ 生产外包-软件类：</t>
  </si>
  <si>
    <t>1.2 实施阶段- 交付差旅招待</t>
  </si>
  <si>
    <r>
      <rPr>
        <color rgb="FFC00000"/>
        <rFont val="Microsoft YaHei"/>
        <sz val="10"/>
      </rPr>
      <t xml:space="preserve">★工作量评估负责人</t>
    </r>
    <r>
      <rPr>
        <color rgb="FFC00000"/>
        <rFont val="Microsoft YaHei"/>
        <sz val="10"/>
      </rPr>
      <t xml:space="preserve">
（可补充说明成本评估备注）</t>
    </r>
  </si>
  <si>
    <t>2.0 运维阶段- 销售成本</t>
  </si>
  <si>
    <t>2.1 运维阶段-人力成本：</t>
  </si>
  <si>
    <t>① 项 目 经 理：</t>
  </si>
  <si>
    <t>② 产 研 投 入：</t>
  </si>
  <si>
    <t>③ 生产外包-数据类：</t>
  </si>
  <si>
    <t>④ 生产外包-软件类：</t>
  </si>
  <si>
    <t>2.2 运维阶段-差旅成本</t>
  </si>
  <si>
    <t>按岗位人员投入人数说明</t>
  </si>
  <si>
    <t>标品</t>
  </si>
  <si>
    <t>建设内容</t>
  </si>
  <si>
    <r>
      <rPr>
        <color rgb="FF000000"/>
        <rFont val="Microsoft YaHei"/>
        <sz val="9"/>
      </rPr>
      <t xml:space="preserve">对应标准产品名称</t>
    </r>
    <r>
      <rPr>
        <color rgb="FF000000"/>
        <rFont val="Microsoft YaHei"/>
        <sz val="9"/>
      </rPr>
      <t xml:space="preserve">
（下拉选择）</t>
    </r>
  </si>
  <si>
    <t>建设内容-细分模块</t>
  </si>
  <si>
    <t>具体功能项</t>
  </si>
  <si>
    <t>功能描述</t>
  </si>
  <si>
    <t>最终交付物</t>
  </si>
  <si>
    <t>交付方式</t>
  </si>
  <si>
    <t>是否标品交付</t>
  </si>
  <si>
    <t>销售-人力成本</t>
  </si>
  <si>
    <t>销售-差旅</t>
  </si>
  <si>
    <t>销售-招待费</t>
  </si>
  <si>
    <t>销售-市场营销</t>
  </si>
  <si>
    <r>
      <rPr>
        <color rgb="FF000000"/>
        <rFont val="Microsoft YaHei"/>
        <sz val="9"/>
      </rPr>
      <t xml:space="preserve">实施阶段-</t>
    </r>
    <r>
      <rPr>
        <color rgb="FF000000"/>
        <rFont val="Microsoft YaHei"/>
        <sz val="9"/>
      </rPr>
      <t xml:space="preserve">
人力成本总额</t>
    </r>
  </si>
  <si>
    <r>
      <rPr>
        <color rgb="FF000000"/>
        <rFont val="Microsoft YaHei"/>
        <sz val="9"/>
      </rPr>
      <t xml:space="preserve">① 实施阶段-</t>
    </r>
    <r>
      <rPr>
        <color rgb="FF000000"/>
        <rFont val="Microsoft YaHei"/>
        <sz val="9"/>
      </rPr>
      <t xml:space="preserve">
人力成本总额</t>
    </r>
    <r>
      <rPr>
        <color rgb="FF000000"/>
        <rFont val="Microsoft YaHei"/>
        <sz val="9"/>
      </rPr>
      <t xml:space="preserve">
（项目经理）</t>
    </r>
  </si>
  <si>
    <r>
      <rPr>
        <color rgb="FF000000"/>
        <rFont val="Microsoft YaHei"/>
        <sz val="9"/>
      </rPr>
      <t xml:space="preserve">② 实施阶段-</t>
    </r>
    <r>
      <rPr>
        <color rgb="FF000000"/>
        <rFont val="Microsoft YaHei"/>
        <sz val="9"/>
      </rPr>
      <t xml:space="preserve">
人力成本总额</t>
    </r>
    <r>
      <rPr>
        <color rgb="FF000000"/>
        <rFont val="Microsoft YaHei"/>
        <sz val="9"/>
      </rPr>
      <t xml:space="preserve">
（产研正编）</t>
    </r>
  </si>
  <si>
    <r>
      <rPr>
        <color rgb="FF000000"/>
        <rFont val="Microsoft YaHei"/>
        <sz val="9"/>
      </rPr>
      <t xml:space="preserve">③ 实施阶段-</t>
    </r>
    <r>
      <rPr>
        <color rgb="FF000000"/>
        <rFont val="Microsoft YaHei"/>
        <sz val="9"/>
      </rPr>
      <t xml:space="preserve">
人力成本总额</t>
    </r>
    <r>
      <rPr>
        <color rgb="FF000000"/>
        <rFont val="Microsoft YaHei"/>
        <sz val="9"/>
      </rPr>
      <t xml:space="preserve">
（产研外包）</t>
    </r>
  </si>
  <si>
    <r>
      <rPr>
        <color rgb="FF000000"/>
        <rFont val="Microsoft YaHei"/>
        <sz val="9"/>
      </rPr>
      <t xml:space="preserve">④ 实施阶段-</t>
    </r>
    <r>
      <rPr>
        <color rgb="FF000000"/>
        <rFont val="Microsoft YaHei"/>
        <sz val="9"/>
      </rPr>
      <t xml:space="preserve">
人力成本总额</t>
    </r>
    <r>
      <rPr>
        <color rgb="FF000000"/>
        <rFont val="Microsoft YaHei"/>
        <sz val="9"/>
      </rPr>
      <t xml:space="preserve">
（生产外包）</t>
    </r>
  </si>
  <si>
    <r>
      <rPr>
        <color rgb="FF000000"/>
        <rFont val="Microsoft YaHei"/>
        <sz val="9"/>
      </rPr>
      <t xml:space="preserve">实施阶段-</t>
    </r>
    <r>
      <rPr>
        <color rgb="FF000000"/>
        <rFont val="Microsoft YaHei"/>
        <sz val="9"/>
      </rPr>
      <t xml:space="preserve">
人天汇总</t>
    </r>
    <r>
      <rPr>
        <color rgb="FF000000"/>
        <rFont val="Microsoft YaHei"/>
        <sz val="9"/>
      </rPr>
      <t xml:space="preserve">
（项目经理）</t>
    </r>
  </si>
  <si>
    <r>
      <rPr>
        <color rgb="FF000000"/>
        <rFont val="Microsoft YaHei"/>
        <sz val="9"/>
      </rPr>
      <t xml:space="preserve">实施阶段-</t>
    </r>
    <r>
      <rPr>
        <color rgb="FF000000"/>
        <rFont val="Microsoft YaHei"/>
        <sz val="9"/>
      </rPr>
      <t xml:space="preserve">
人天汇总</t>
    </r>
    <r>
      <rPr>
        <color rgb="FF000000"/>
        <rFont val="Microsoft YaHei"/>
        <sz val="9"/>
      </rPr>
      <t xml:space="preserve">
（产研正编）</t>
    </r>
  </si>
  <si>
    <r>
      <rPr>
        <color rgb="FF000000"/>
        <rFont val="Microsoft YaHei"/>
        <sz val="9"/>
      </rPr>
      <t xml:space="preserve">实施阶段-</t>
    </r>
    <r>
      <rPr>
        <color rgb="FF000000"/>
        <rFont val="Microsoft YaHei"/>
        <sz val="9"/>
      </rPr>
      <t xml:space="preserve">
人天汇总</t>
    </r>
    <r>
      <rPr>
        <color rgb="FF000000"/>
        <rFont val="Microsoft YaHei"/>
        <sz val="9"/>
      </rPr>
      <t xml:space="preserve">
（产研外包）</t>
    </r>
  </si>
  <si>
    <r>
      <rPr>
        <color rgb="FF000000"/>
        <rFont val="Microsoft YaHei"/>
        <sz val="9"/>
      </rPr>
      <t xml:space="preserve">实施阶段-</t>
    </r>
    <r>
      <rPr>
        <color rgb="FF000000"/>
        <rFont val="Microsoft YaHei"/>
        <sz val="9"/>
      </rPr>
      <t xml:space="preserve">
人天汇总</t>
    </r>
    <r>
      <rPr>
        <color rgb="FF000000"/>
        <rFont val="Microsoft YaHei"/>
        <sz val="9"/>
      </rPr>
      <t xml:space="preserve">
（生产外包）</t>
    </r>
  </si>
  <si>
    <r>
      <rPr>
        <color rgb="FF000000"/>
        <rFont val="Microsoft YaHei"/>
        <sz val="9"/>
      </rPr>
      <t xml:space="preserve">项目经理</t>
    </r>
    <r>
      <rPr>
        <color rgb="FF000000"/>
        <rFont val="Microsoft YaHei"/>
        <sz val="9"/>
      </rPr>
      <t xml:space="preserve">
正编人天</t>
    </r>
  </si>
  <si>
    <r>
      <rPr>
        <color rgb="FF000000"/>
        <rFont val="Microsoft YaHei"/>
        <sz val="9"/>
      </rPr>
      <t xml:space="preserve">项目经理</t>
    </r>
    <r>
      <rPr>
        <color rgb="FF000000"/>
        <rFont val="Microsoft YaHei"/>
        <sz val="9"/>
      </rPr>
      <t xml:space="preserve">
正编金额</t>
    </r>
  </si>
  <si>
    <r>
      <rPr>
        <color rgb="FF000000"/>
        <rFont val="Microsoft YaHei"/>
        <sz val="9"/>
      </rPr>
      <t xml:space="preserve">产品售前</t>
    </r>
    <r>
      <rPr>
        <color rgb="FF000000"/>
        <rFont val="Microsoft YaHei"/>
        <sz val="9"/>
      </rPr>
      <t xml:space="preserve">
正编人天</t>
    </r>
  </si>
  <si>
    <r>
      <rPr>
        <color rgb="FF000000"/>
        <rFont val="Microsoft YaHei"/>
        <sz val="9"/>
      </rPr>
      <t xml:space="preserve">产品售前</t>
    </r>
    <r>
      <rPr>
        <color rgb="FF000000"/>
        <rFont val="Microsoft YaHei"/>
        <sz val="9"/>
      </rPr>
      <t xml:space="preserve">
外包人天</t>
    </r>
  </si>
  <si>
    <r>
      <rPr>
        <color rgb="FF000000"/>
        <rFont val="Microsoft YaHei"/>
        <sz val="9"/>
      </rPr>
      <t xml:space="preserve">产品售前</t>
    </r>
    <r>
      <rPr>
        <color rgb="FF000000"/>
        <rFont val="Microsoft YaHei"/>
        <sz val="9"/>
      </rPr>
      <t xml:space="preserve">
正编金额</t>
    </r>
  </si>
  <si>
    <r>
      <rPr>
        <color rgb="FF000000"/>
        <rFont val="Microsoft YaHei"/>
        <sz val="9"/>
      </rPr>
      <t xml:space="preserve">产品售前</t>
    </r>
    <r>
      <rPr>
        <color rgb="FF000000"/>
        <rFont val="Microsoft YaHei"/>
        <sz val="9"/>
      </rPr>
      <t xml:space="preserve">
外包金额</t>
    </r>
  </si>
  <si>
    <r>
      <rPr>
        <color rgb="FF000000"/>
        <rFont val="Microsoft YaHei"/>
        <sz val="9"/>
      </rPr>
      <t xml:space="preserve">产品</t>
    </r>
    <r>
      <rPr>
        <color rgb="FF000000"/>
        <rFont val="Microsoft YaHei"/>
        <sz val="9"/>
      </rPr>
      <t xml:space="preserve">
正编人天</t>
    </r>
  </si>
  <si>
    <r>
      <rPr>
        <color rgb="FF000000"/>
        <rFont val="Microsoft YaHei"/>
        <sz val="9"/>
      </rPr>
      <t xml:space="preserve">产品</t>
    </r>
    <r>
      <rPr>
        <color rgb="FF000000"/>
        <rFont val="Microsoft YaHei"/>
        <sz val="9"/>
      </rPr>
      <t xml:space="preserve">
外包人天</t>
    </r>
  </si>
  <si>
    <r>
      <rPr>
        <color rgb="FF000000"/>
        <rFont val="Microsoft YaHei"/>
        <sz val="9"/>
      </rPr>
      <t xml:space="preserve">产品</t>
    </r>
    <r>
      <rPr>
        <color rgb="FF000000"/>
        <rFont val="Microsoft YaHei"/>
        <sz val="9"/>
      </rPr>
      <t xml:space="preserve">
正编金额</t>
    </r>
  </si>
  <si>
    <r>
      <rPr>
        <color rgb="FF000000"/>
        <rFont val="Microsoft YaHei"/>
        <sz val="9"/>
      </rPr>
      <t xml:space="preserve">产品</t>
    </r>
    <r>
      <rPr>
        <color rgb="FF000000"/>
        <rFont val="Microsoft YaHei"/>
        <sz val="9"/>
      </rPr>
      <t xml:space="preserve">
外包金额</t>
    </r>
  </si>
  <si>
    <r>
      <rPr>
        <color rgb="FF000000"/>
        <rFont val="Microsoft YaHei"/>
        <sz val="9"/>
      </rPr>
      <t xml:space="preserve">前端</t>
    </r>
    <r>
      <rPr>
        <color rgb="FF000000"/>
        <rFont val="Microsoft YaHei"/>
        <sz val="9"/>
      </rPr>
      <t xml:space="preserve">
正编人天</t>
    </r>
  </si>
  <si>
    <r>
      <rPr>
        <color rgb="FF000000"/>
        <rFont val="Microsoft YaHei"/>
        <sz val="9"/>
      </rPr>
      <t xml:space="preserve">前端</t>
    </r>
    <r>
      <rPr>
        <color rgb="FF000000"/>
        <rFont val="Microsoft YaHei"/>
        <sz val="9"/>
      </rPr>
      <t xml:space="preserve">
外包人天</t>
    </r>
  </si>
  <si>
    <r>
      <rPr>
        <color rgb="FF000000"/>
        <rFont val="Microsoft YaHei"/>
        <sz val="9"/>
      </rPr>
      <t xml:space="preserve">前端</t>
    </r>
    <r>
      <rPr>
        <color rgb="FF000000"/>
        <rFont val="Microsoft YaHei"/>
        <sz val="9"/>
      </rPr>
      <t xml:space="preserve">
正编金额</t>
    </r>
  </si>
  <si>
    <r>
      <rPr>
        <color rgb="FF000000"/>
        <rFont val="Microsoft YaHei"/>
        <sz val="9"/>
      </rPr>
      <t xml:space="preserve">前端</t>
    </r>
    <r>
      <rPr>
        <color rgb="FF000000"/>
        <rFont val="Microsoft YaHei"/>
        <sz val="9"/>
      </rPr>
      <t xml:space="preserve">
外包金额</t>
    </r>
  </si>
  <si>
    <r>
      <rPr>
        <color rgb="FF000000"/>
        <rFont val="Microsoft YaHei"/>
        <sz val="9"/>
      </rPr>
      <t xml:space="preserve">后端</t>
    </r>
    <r>
      <rPr>
        <color rgb="FF000000"/>
        <rFont val="Microsoft YaHei"/>
        <sz val="9"/>
      </rPr>
      <t xml:space="preserve">
正编人天</t>
    </r>
  </si>
  <si>
    <r>
      <rPr>
        <color rgb="FF000000"/>
        <rFont val="Microsoft YaHei"/>
        <sz val="9"/>
      </rPr>
      <t xml:space="preserve">后端</t>
    </r>
    <r>
      <rPr>
        <color rgb="FF000000"/>
        <rFont val="Microsoft YaHei"/>
        <sz val="9"/>
      </rPr>
      <t xml:space="preserve">
外包人天</t>
    </r>
  </si>
  <si>
    <r>
      <rPr>
        <color rgb="FF000000"/>
        <rFont val="Microsoft YaHei"/>
        <sz val="9"/>
      </rPr>
      <t xml:space="preserve">后端</t>
    </r>
    <r>
      <rPr>
        <color rgb="FF000000"/>
        <rFont val="Microsoft YaHei"/>
        <sz val="9"/>
      </rPr>
      <t xml:space="preserve">
正编金额</t>
    </r>
  </si>
  <si>
    <r>
      <rPr>
        <color rgb="FF000000"/>
        <rFont val="Microsoft YaHei"/>
        <sz val="9"/>
      </rPr>
      <t xml:space="preserve">后端</t>
    </r>
    <r>
      <rPr>
        <color rgb="FF000000"/>
        <rFont val="Microsoft YaHei"/>
        <sz val="9"/>
      </rPr>
      <t xml:space="preserve">
外包金额</t>
    </r>
  </si>
  <si>
    <r>
      <rPr>
        <color rgb="FF000000"/>
        <rFont val="Microsoft YaHei"/>
        <sz val="9"/>
      </rPr>
      <t xml:space="preserve">大数据开发</t>
    </r>
    <r>
      <rPr>
        <color rgb="FF000000"/>
        <rFont val="Microsoft YaHei"/>
        <sz val="9"/>
      </rPr>
      <t xml:space="preserve">
正编人天</t>
    </r>
  </si>
  <si>
    <r>
      <rPr>
        <color rgb="FF000000"/>
        <rFont val="Microsoft YaHei"/>
        <sz val="9"/>
      </rPr>
      <t xml:space="preserve">大数据开发</t>
    </r>
    <r>
      <rPr>
        <color rgb="FF000000"/>
        <rFont val="Microsoft YaHei"/>
        <sz val="9"/>
      </rPr>
      <t xml:space="preserve">
外包人天</t>
    </r>
  </si>
  <si>
    <r>
      <rPr>
        <color rgb="FF000000"/>
        <rFont val="Microsoft YaHei"/>
        <sz val="9"/>
      </rPr>
      <t xml:space="preserve">大数据开发</t>
    </r>
    <r>
      <rPr>
        <color rgb="FF000000"/>
        <rFont val="Microsoft YaHei"/>
        <sz val="9"/>
      </rPr>
      <t xml:space="preserve">
正编金额</t>
    </r>
  </si>
  <si>
    <r>
      <rPr>
        <color rgb="FF000000"/>
        <rFont val="Microsoft YaHei"/>
        <sz val="9"/>
      </rPr>
      <t xml:space="preserve">大数据开发</t>
    </r>
    <r>
      <rPr>
        <color rgb="FF000000"/>
        <rFont val="Microsoft YaHei"/>
        <sz val="9"/>
      </rPr>
      <t xml:space="preserve">
外包金额</t>
    </r>
  </si>
  <si>
    <r>
      <rPr>
        <color rgb="FF000000"/>
        <rFont val="Microsoft YaHei"/>
        <sz val="9"/>
      </rPr>
      <t xml:space="preserve">交付</t>
    </r>
    <r>
      <rPr>
        <color rgb="FF000000"/>
        <rFont val="Microsoft YaHei"/>
        <sz val="9"/>
      </rPr>
      <t xml:space="preserve">
正编人天</t>
    </r>
  </si>
  <si>
    <r>
      <rPr>
        <color rgb="FF000000"/>
        <rFont val="Microsoft YaHei"/>
        <sz val="9"/>
      </rPr>
      <t xml:space="preserve">交付</t>
    </r>
    <r>
      <rPr>
        <color rgb="FF000000"/>
        <rFont val="Microsoft YaHei"/>
        <sz val="9"/>
      </rPr>
      <t xml:space="preserve">
外包人天</t>
    </r>
  </si>
  <si>
    <r>
      <rPr>
        <color rgb="FF000000"/>
        <rFont val="Microsoft YaHei"/>
        <sz val="9"/>
      </rPr>
      <t xml:space="preserve">交付</t>
    </r>
    <r>
      <rPr>
        <color rgb="FF000000"/>
        <rFont val="Microsoft YaHei"/>
        <sz val="9"/>
      </rPr>
      <t xml:space="preserve">
正编金额</t>
    </r>
  </si>
  <si>
    <r>
      <rPr>
        <color rgb="FF000000"/>
        <rFont val="Microsoft YaHei"/>
        <sz val="9"/>
      </rPr>
      <t xml:space="preserve">交付</t>
    </r>
    <r>
      <rPr>
        <color rgb="FF000000"/>
        <rFont val="Microsoft YaHei"/>
        <sz val="9"/>
      </rPr>
      <t xml:space="preserve">
外包金额</t>
    </r>
  </si>
  <si>
    <r>
      <rPr>
        <color rgb="FF000000"/>
        <rFont val="Microsoft YaHei"/>
        <sz val="9"/>
      </rPr>
      <t xml:space="preserve">架构</t>
    </r>
    <r>
      <rPr>
        <color rgb="FF000000"/>
        <rFont val="Microsoft YaHei"/>
        <sz val="9"/>
      </rPr>
      <t xml:space="preserve">
正编人天</t>
    </r>
  </si>
  <si>
    <r>
      <rPr>
        <color rgb="FF000000"/>
        <rFont val="Microsoft YaHei"/>
        <sz val="9"/>
      </rPr>
      <t xml:space="preserve">架构</t>
    </r>
    <r>
      <rPr>
        <color rgb="FF000000"/>
        <rFont val="Microsoft YaHei"/>
        <sz val="9"/>
      </rPr>
      <t xml:space="preserve">
正编金额</t>
    </r>
  </si>
  <si>
    <r>
      <rPr>
        <color rgb="FF000000"/>
        <rFont val="Microsoft YaHei"/>
        <sz val="9"/>
      </rPr>
      <t xml:space="preserve">其他</t>
    </r>
    <r>
      <rPr>
        <color rgb="FF000000"/>
        <rFont val="Microsoft YaHei"/>
        <sz val="9"/>
      </rPr>
      <t xml:space="preserve">
正编人天</t>
    </r>
  </si>
  <si>
    <r>
      <rPr>
        <color rgb="FF000000"/>
        <rFont val="Microsoft YaHei"/>
        <sz val="9"/>
      </rPr>
      <t xml:space="preserve">其他</t>
    </r>
    <r>
      <rPr>
        <color rgb="FF000000"/>
        <rFont val="Microsoft YaHei"/>
        <sz val="9"/>
      </rPr>
      <t xml:space="preserve">
外包人天</t>
    </r>
  </si>
  <si>
    <r>
      <rPr>
        <color rgb="FF000000"/>
        <rFont val="Microsoft YaHei"/>
        <sz val="9"/>
      </rPr>
      <t xml:space="preserve">其他</t>
    </r>
    <r>
      <rPr>
        <color rgb="FF000000"/>
        <rFont val="Microsoft YaHei"/>
        <sz val="9"/>
      </rPr>
      <t xml:space="preserve">
正编金额</t>
    </r>
  </si>
  <si>
    <r>
      <rPr>
        <color rgb="FF000000"/>
        <rFont val="Microsoft YaHei"/>
        <sz val="9"/>
      </rPr>
      <t xml:space="preserve">其他</t>
    </r>
    <r>
      <rPr>
        <color rgb="FF000000"/>
        <rFont val="Microsoft YaHei"/>
        <sz val="9"/>
      </rPr>
      <t xml:space="preserve">
外包金额</t>
    </r>
  </si>
  <si>
    <r>
      <rPr>
        <color rgb="FF000000"/>
        <rFont val="Microsoft YaHei"/>
        <sz val="9"/>
      </rPr>
      <t xml:space="preserve">生产外包</t>
    </r>
    <r>
      <rPr>
        <color rgb="FF000000"/>
        <rFont val="Microsoft YaHei"/>
        <sz val="9"/>
      </rPr>
      <t xml:space="preserve">
人天</t>
    </r>
  </si>
  <si>
    <r>
      <rPr>
        <color rgb="FF000000"/>
        <rFont val="Microsoft YaHei"/>
        <sz val="9"/>
      </rPr>
      <t xml:space="preserve">生产外包</t>
    </r>
    <r>
      <rPr>
        <color rgb="FF000000"/>
        <rFont val="Microsoft YaHei"/>
        <sz val="9"/>
      </rPr>
      <t xml:space="preserve">
金额</t>
    </r>
  </si>
  <si>
    <r>
      <rPr>
        <color rgb="FF000000"/>
        <rFont val="Microsoft YaHei"/>
        <sz val="9"/>
      </rPr>
      <t xml:space="preserve">实施阶段-</t>
    </r>
    <r>
      <rPr>
        <color rgb="FF000000"/>
        <rFont val="Microsoft YaHei"/>
        <sz val="9"/>
      </rPr>
      <t xml:space="preserve">
差旅成本总额</t>
    </r>
  </si>
  <si>
    <r>
      <rPr>
        <color rgb="FF000000"/>
        <rFont val="Microsoft YaHei"/>
        <sz val="9"/>
      </rPr>
      <t xml:space="preserve">实施阶段-差旅成本</t>
    </r>
    <r>
      <rPr>
        <color rgb="FF000000"/>
        <rFont val="Microsoft YaHei"/>
        <sz val="9"/>
      </rPr>
      <t xml:space="preserve">
项目经理-差旅、市内交通</t>
    </r>
  </si>
  <si>
    <r>
      <rPr>
        <color rgb="FF000000"/>
        <rFont val="Microsoft YaHei"/>
        <sz val="9"/>
      </rPr>
      <t xml:space="preserve">实施阶段-差旅成本</t>
    </r>
    <r>
      <rPr>
        <color rgb="FF000000"/>
        <rFont val="Microsoft YaHei"/>
        <sz val="9"/>
      </rPr>
      <t xml:space="preserve">
项目经理-招待费</t>
    </r>
  </si>
  <si>
    <r>
      <rPr>
        <color rgb="FF000000"/>
        <rFont val="Microsoft YaHei"/>
        <sz val="9"/>
      </rPr>
      <t xml:space="preserve">实施阶段-差旅成本</t>
    </r>
    <r>
      <rPr>
        <color rgb="FF000000"/>
        <rFont val="Microsoft YaHei"/>
        <sz val="9"/>
      </rPr>
      <t xml:space="preserve">
产研（正编+外包）</t>
    </r>
  </si>
  <si>
    <r>
      <rPr>
        <color rgb="FF000000"/>
        <rFont val="Microsoft YaHei"/>
        <sz val="9"/>
      </rPr>
      <t xml:space="preserve">实施阶段-差旅成本</t>
    </r>
    <r>
      <rPr>
        <color rgb="FF000000"/>
        <rFont val="Microsoft YaHei"/>
        <sz val="9"/>
      </rPr>
      <t xml:space="preserve">
生产外包（数据类）</t>
    </r>
  </si>
  <si>
    <r>
      <rPr>
        <color rgb="FF000000"/>
        <rFont val="Microsoft YaHei"/>
        <sz val="9"/>
      </rPr>
      <t xml:space="preserve">实施阶段-差旅成本</t>
    </r>
    <r>
      <rPr>
        <color rgb="FF000000"/>
        <rFont val="Microsoft YaHei"/>
        <sz val="9"/>
      </rPr>
      <t xml:space="preserve">
生产外包（软件类）</t>
    </r>
  </si>
  <si>
    <r>
      <rPr>
        <color rgb="FF000000"/>
        <rFont val="Microsoft YaHei"/>
        <sz val="9"/>
      </rPr>
      <t xml:space="preserve">运维阶段-</t>
    </r>
    <r>
      <rPr>
        <color rgb="FF000000"/>
        <rFont val="Microsoft YaHei"/>
        <sz val="9"/>
      </rPr>
      <t xml:space="preserve">
人力成本总额</t>
    </r>
  </si>
  <si>
    <r>
      <rPr>
        <color rgb="FF000000"/>
        <rFont val="Microsoft YaHei"/>
        <sz val="9"/>
      </rPr>
      <t xml:space="preserve">产研</t>
    </r>
    <r>
      <rPr>
        <color rgb="FF000000"/>
        <rFont val="Microsoft YaHei"/>
        <sz val="9"/>
      </rPr>
      <t xml:space="preserve">
正编人天</t>
    </r>
  </si>
  <si>
    <r>
      <rPr>
        <color rgb="FF000000"/>
        <rFont val="Microsoft YaHei"/>
        <sz val="9"/>
      </rPr>
      <t xml:space="preserve">产研</t>
    </r>
    <r>
      <rPr>
        <color rgb="FF000000"/>
        <rFont val="Microsoft YaHei"/>
        <sz val="9"/>
      </rPr>
      <t xml:space="preserve">
外包人天</t>
    </r>
  </si>
  <si>
    <r>
      <rPr>
        <color rgb="FF000000"/>
        <rFont val="Microsoft YaHei"/>
        <sz val="9"/>
      </rPr>
      <t xml:space="preserve">产研</t>
    </r>
    <r>
      <rPr>
        <color rgb="FF000000"/>
        <rFont val="Microsoft YaHei"/>
        <sz val="9"/>
      </rPr>
      <t xml:space="preserve">
正编金额</t>
    </r>
  </si>
  <si>
    <r>
      <rPr>
        <color rgb="FF000000"/>
        <rFont val="Microsoft YaHei"/>
        <sz val="9"/>
      </rPr>
      <t xml:space="preserve">产研</t>
    </r>
    <r>
      <rPr>
        <color rgb="FF000000"/>
        <rFont val="Microsoft YaHei"/>
        <sz val="9"/>
      </rPr>
      <t xml:space="preserve">
外包金额</t>
    </r>
  </si>
  <si>
    <r>
      <rPr>
        <color rgb="FF000000"/>
        <rFont val="Microsoft YaHei"/>
        <sz val="9"/>
      </rPr>
      <t xml:space="preserve">运维阶段-</t>
    </r>
    <r>
      <rPr>
        <color rgb="FF000000"/>
        <rFont val="Microsoft YaHei"/>
        <sz val="9"/>
      </rPr>
      <t xml:space="preserve">
差旅成本总额</t>
    </r>
  </si>
  <si>
    <r>
      <rPr>
        <color rgb="FF000000"/>
        <rFont val="Microsoft YaHei"/>
        <sz val="9"/>
      </rPr>
      <t xml:space="preserve">运维阶段-差旅成本</t>
    </r>
    <r>
      <rPr>
        <color rgb="FF000000"/>
        <rFont val="Microsoft YaHei"/>
        <sz val="9"/>
      </rPr>
      <t xml:space="preserve">
项目经理-差旅、市内交通</t>
    </r>
  </si>
  <si>
    <r>
      <rPr>
        <color rgb="FF000000"/>
        <rFont val="Microsoft YaHei"/>
        <sz val="9"/>
      </rPr>
      <t xml:space="preserve">运维阶段-差旅成本</t>
    </r>
    <r>
      <rPr>
        <color rgb="FF000000"/>
        <rFont val="Microsoft YaHei"/>
        <sz val="9"/>
      </rPr>
      <t xml:space="preserve">
项目经理-招待费</t>
    </r>
  </si>
  <si>
    <r>
      <rPr>
        <color rgb="FF000000"/>
        <rFont val="Microsoft YaHei"/>
        <sz val="9"/>
      </rPr>
      <t xml:space="preserve">运维阶段-差旅成本</t>
    </r>
    <r>
      <rPr>
        <color rgb="FF000000"/>
        <rFont val="Microsoft YaHei"/>
        <sz val="9"/>
      </rPr>
      <t xml:space="preserve">
产研（正编+外包）</t>
    </r>
  </si>
  <si>
    <r>
      <rPr>
        <color rgb="FF000000"/>
        <rFont val="Microsoft YaHei"/>
        <sz val="9"/>
      </rPr>
      <t xml:space="preserve">运维阶段-差旅成本</t>
    </r>
    <r>
      <rPr>
        <color rgb="FF000000"/>
        <rFont val="Microsoft YaHei"/>
        <sz val="9"/>
      </rPr>
      <t xml:space="preserve">
生产外包（数据类）</t>
    </r>
  </si>
  <si>
    <r>
      <rPr>
        <color rgb="FF000000"/>
        <rFont val="Microsoft YaHei"/>
        <sz val="9"/>
      </rPr>
      <t xml:space="preserve">运维阶段-差旅成本</t>
    </r>
    <r>
      <rPr>
        <color rgb="FF000000"/>
        <rFont val="Microsoft YaHei"/>
        <sz val="9"/>
      </rPr>
      <t xml:space="preserve">
生产外包（软件类）</t>
    </r>
  </si>
  <si>
    <t>人天</t>
  </si>
  <si>
    <t>金额</t>
  </si>
  <si>
    <t>标品成本评估-说明</t>
  </si>
  <si>
    <t>数据工程</t>
  </si>
  <si>
    <t>数据接入与服务</t>
  </si>
  <si>
    <t>火灾数据接入</t>
  </si>
  <si>
    <t>接入昆山消防大队辖区火情相关数据，如：火灾警情、起火原因、发生时间、地理坐标等数据。</t>
  </si>
  <si>
    <t>数据对接</t>
  </si>
  <si>
    <t>交付运营</t>
  </si>
  <si>
    <r>
      <rPr>
        <color rgb="FF000000"/>
        <rFont val="Microsoft YaHei"/>
        <sz val="10"/>
      </rPr>
      <t xml:space="preserve">岗位（正编/外包）：人数+对应投入人天</t>
    </r>
    <r>
      <rPr>
        <color rgb="FF000000"/>
        <rFont val="Microsoft YaHei"/>
        <sz val="10"/>
      </rPr>
      <t xml:space="preserve">
①产品岗：正编投入_人；外包投入_人
②前端岗：正编投入_人；外包投入_人
③后端岗：正编投入_人；外包投入_人
④大数据开发：正编投入_人；外包投入_人
⑤交付岗：正编投入_人
⑥架构岗：正编投入_人；外包投入_人
⑦其他：正编投入_人；外包投入_人
......</t>
    </r>
  </si>
  <si>
    <t>产品、研发：</t>
  </si>
  <si>
    <t>接入昆山消防大队辖区内高风险单位名单数据，如：单位基础信息、风险等级、地址经纬度、管辖单位等数据。</t>
  </si>
  <si>
    <t>接入公安实有单位数据基础信息（单位类型、物业单位名称、火灾风险积分、单位人数、所属消防中队）、消防要素（包含自动消防设施、危化学品、粉尘、出租房、九小场所、燃气、新业态场所、三合一场所、住宿、食堂、特殊人群、高危气体），并将其信息并且匹配至所属网格。
更新频率：月度</t>
  </si>
  <si>
    <t>物联网设备接入</t>
  </si>
  <si>
    <t>系统支持接入辖区内消防重点单位视频监控资源，完成监控点位标准化GIS地图上图部署，实现视频点位可视化撒点、一键预览播放、点位信息查询等基础视频可视化应用能力，具体功能如下：
1、视频资源统一接入：支持对接消防重点单位现有视频监控设备，兼容主流视频协议，实现监控视频资源的统一汇聚、在线接入、状态识别，支持设备在线/离线状态自动识别。
2、GIS地图可视化撒点：根据监控设备实际经纬度坐标，在电子地图上精准展示视频监控点位，以专属图标分层展示，点位分布清晰直观，支持地图缩放、平移联动显示，缩放过程中自动适配点位展示效果。
3、点位信息一键查询：点击地图视频撒点图标，可弹窗展示该监控点位基础信息，包含设备名称、所属重点单位、安装位置、设备状态、设备编号等台账信息，实现点位信息可视化溯源。
4、地图点位一键视频播放：支持点击地图监控图标，快速调取实时视频画面，实现单路视频实时预览播放，画面流畅稳定，支持窗口悬浮播放、放大全屏播放基础能力。
5、视频点位分层展示管理：支持按重点单位类型、区域、设备状态对视频点位进行筛选展示，可开启/关闭视频图层，实现监控资源分层、分类可视化管理。
6、异常状态可视化提醒：对接入异常、离线故障、信号中断的监控点位，地图图标自动差异化标识，直观展示设备运行状态，便于运维人员及时排查整改。</t>
  </si>
  <si>
    <t>研发</t>
  </si>
  <si>
    <t>全域消防要素态势一张图</t>
  </si>
  <si>
    <t>地图底座</t>
  </si>
  <si>
    <t>对接昆山市公共智慧底座地图服务，支持矢量地图、影像地图切换；</t>
  </si>
  <si>
    <t>地图基础工具</t>
  </si>
  <si>
    <t>包含坐标拾取、坐标定位、地图测距、地图缩放、地图切换等功能。</t>
  </si>
  <si>
    <t>搜索</t>
  </si>
  <si>
    <t>多维度复合关键词检索，支持单位名称、单位属性地址、警情编号、网格、风险等级多条件模糊搜索；
搜索结果以列表分页展示，展示完整要素详情；点击列表条目自动定位跳转至地图对应点位，地图点位高亮闪烁；支持搜索结果批量导出Excel；支持搜索历史记录保存。</t>
  </si>
  <si>
    <t>行政区划图层</t>
  </si>
  <si>
    <t>加载昆山市、镇（街道）两级行政区划边界，支持鼠标悬浮查看区域名称；
支持地图下钻：全市→镇街；上卷返回上级视图；区域边界高亮闪烁；
按行政区划进行消防指标统计：警情数量、高风险单位数量、物联设备数量，统计指标以弹窗卡片展示。</t>
  </si>
  <si>
    <t>综治网格图层</t>
  </si>
  <si>
    <t>加载完整综治网格边界数据，地图渲染网格面图层；鼠标悬浮显示网格编码、网格名称、网格面积；
网格内统计本网格火灾警情、高风险单位、监控设备数量；支持网格筛选过滤，可按网格编码查询定位。</t>
  </si>
  <si>
    <t>消防中队管理区图层</t>
  </si>
  <si>
    <t>加载各消防中队管辖责任区边界图层；点击辖区弹窗展示中队名称、中队地址、联系电话、值班人员；
辖区内统计：历史警情统计、重点单位统计、风险单位分布统计、监控设备统计；支持按中队筛选地图要素，快速过滤出该中队管辖范围内全部消防要素。</t>
  </si>
  <si>
    <t>火情热力图</t>
  </si>
  <si>
    <t>基于历史火灾警情空间坐标，采用核密度分析算法生成动态渐变热力图层；
支持时间筛选：可自定义时间范围，选择近7天、30天、半年、全年或者自定义起止时间，热力图随时间条件动态重计算渲染；支持热力图层显隐控制；支持热力图截图导出。</t>
  </si>
  <si>
    <t>高峰时段分析</t>
  </si>
  <si>
    <t>统计0-24小时每个小时火灾警情发生频次，柱状图可视化展示；支持按年、季度、月、周时间维度筛选；支持按行政区划、中队辖区做筛选，查看不同区域火灾高发时段；图表支持导出图片、导出Excel原始统计数据。</t>
  </si>
  <si>
    <t>重复报警点监测</t>
  </si>
  <si>
    <t>空间聚类算法识别半径50米范围内，1年内发生≥2次警情点位
顽固隐患点在地图特殊标记展示；点击点位展示全部历史警情记录、报警时间、起火原因</t>
  </si>
  <si>
    <t>起火原因聚类统计</t>
  </si>
  <si>
    <t>按行政区划、消防中队统计起火原因：电气故障、燃气泄漏、吸烟、自燃、外来火源、生产作业等类型；饼图、柱状图展示各类起火原因占比；支持时间范围筛选；支持原因占比排序，快速定位区域突出火灾风险；统计图表支持导出图片、导出原始统计表格。</t>
  </si>
  <si>
    <t>风险等级热力图</t>
  </si>
  <si>
    <t>基于单位风险等级数据，生成热力图；
算法计算生成全域风险热力图层，直观展示高风险聚集区域；支持按单位类型过滤，只看某一类单位风险热力；支持热力图层开关、透明度调节，支持截图导出。</t>
  </si>
  <si>
    <t>单位类型分布图</t>
  </si>
  <si>
    <t>支持显示大型商业综合体、学校、医院、高层住宅、养老院、二级重点单位、工贸企业等单位分类，不同类别配置独立图标、颜色；
支持按单位类型筛选过滤地图显示火灾风险要素，例如：自动消防设施、危化学品、粉尘、出租房、九小场所、燃气、新业态场所、三合一场所、住宿、食堂、特殊人群、高危气体）=等。</t>
  </si>
  <si>
    <t>单位消防元素展示</t>
  </si>
  <si>
    <t>检索定位独立管理主体（单位/楼宇/园区），点击单位点位弹窗展示单位全量消防要素信息：建筑概况、所属消防中队、消防设施清单（消火栓、灭火器、喷淋等）、火灾风险积分、火灾风险要素。</t>
  </si>
  <si>
    <t>数智网格化系统</t>
  </si>
  <si>
    <t>图层综合管理</t>
  </si>
  <si>
    <t>普通管理</t>
  </si>
  <si>
    <t>提供点线面图层的编排管理功能，支持图层的新建、修改、删除、显隐、排序、详情查看等功能</t>
  </si>
  <si>
    <t>网格管理平台</t>
  </si>
  <si>
    <t>图层数据</t>
  </si>
  <si>
    <t>提供点线面图层的数据管理功能，支持图层数据的导入、导出、清空及要素数据的属性管理。线下上传，支持CSV、GEOJSON、SHP（zip格式）文件格式；线上对接，支持WFS服务格式。</t>
  </si>
  <si>
    <t>要素绘制</t>
  </si>
  <si>
    <t>提供画点、画线、画面的要素绘制能力，其中画面支持自由画面、圆形画面、矩形画面等方式，并支持对面的合并、拆分、挖孔、删飞地、填挖孔等编辑功能。</t>
  </si>
  <si>
    <t>要素编辑</t>
  </si>
  <si>
    <t>提供已绘制的点/线/面要素编辑功能，包含属性、样式、边界的编辑，支持上传图片、删除要素。</t>
  </si>
  <si>
    <t>要素样式</t>
  </si>
  <si>
    <t>提供整个点/线/面图层的样式设置功能，点图层支持设置默认统一样式、分类样式、聚合样式、热力图等，线/面图层支持设置默认单一样式、分类样式。</t>
  </si>
  <si>
    <t>网格绘制</t>
  </si>
  <si>
    <t>网格绘制工具</t>
  </si>
  <si>
    <t>提供网格绘制管理工具，包括网格的新增、编辑、删除、合并、拆分、挖空、删除飞地、填充挖空、接边自动吸附、接边联动编辑功能，在网格绘制过程中，维护网格边界</t>
  </si>
  <si>
    <t>问题检查工具</t>
  </si>
  <si>
    <t>提供网格边界拓扑问题检查工具，检查网格数据问题，包括缝隙和压盖问题检查和自相交问题检查</t>
  </si>
  <si>
    <t>审核反馈记录</t>
  </si>
  <si>
    <t>提供已编辑未提交、已提交待审核的网格数据的反馈记录查看功能，支持提交网格、撤销编辑、继续编辑、撤销提交和查看日志等网格操作</t>
  </si>
  <si>
    <t>图层组管理</t>
  </si>
  <si>
    <t>提供图层组的展示和操作管理功能，支持图层组的增删改、数据导入导出、版本管理功能，其中版本支持新建、查看、回滚、删除、对比、导出等功能</t>
  </si>
  <si>
    <t>网格数据管理</t>
  </si>
  <si>
    <t>提供列表式的网格数据管理功能，包含网格数据的父子级联树展示，支持网格数据记录的新增、编辑、删除及批量导出</t>
  </si>
  <si>
    <t>网格管理</t>
  </si>
  <si>
    <t>网格审核管理</t>
  </si>
  <si>
    <t>提供待审核网格记录的查看、审核功能，提供已审核网格记录的查看功能</t>
  </si>
  <si>
    <t>网格权限管理</t>
  </si>
  <si>
    <t>提供网格数据权限分配功能，支持图层组创建者给网格绘制员分配不同的网格辖区权限，避免误操作不属于自己辖区的网格数据</t>
  </si>
  <si>
    <t>网格模板管理</t>
  </si>
  <si>
    <t>提供网格模板管理功能，支持在新建图层组时一键复用</t>
  </si>
  <si>
    <t>后台管理</t>
  </si>
  <si>
    <t>用户管理</t>
  </si>
  <si>
    <t>用于对平台的用户信息进行管理，保证启用的用户能够登录平台，提供用户的新增、编辑、删除、查询、导出等功能</t>
  </si>
  <si>
    <t>角色管理</t>
  </si>
  <si>
    <t>用于管理用户组对应角色权限，能够在此模块中对角色进行功能菜单权限和数据权限的配置，保障不同的用户具有不同的系统和功能权限，支持角色的新增、修改、删除、查询等</t>
  </si>
  <si>
    <t>部门管理</t>
  </si>
  <si>
    <t>用于对用户所属部门进行管理，支持部门的新增、修改、删除、查询等</t>
  </si>
  <si>
    <t>字典管理</t>
  </si>
  <si>
    <t>字典管理用于保障产品部分功能能够在项目中实现组件化、可配置，常见用途如地图信息的配置、城市配置、服务参数配置等，支持字典的查询、新增、修改、删除等操作。</t>
  </si>
  <si>
    <t>权限配置</t>
  </si>
  <si>
    <t>权限配置管理功能权限和数据权限，可以按角色严格限制按钮权限避免越权和限制数据可见范围，支持配置权限的查询、新增、修改、删除等操作。</t>
  </si>
  <si>
    <t>权限字典</t>
  </si>
  <si>
    <t>权限字典主要用于设置数据权限的字典配置和枚举，为平台的通用字典设置，支持字典的查询、新增、修改、删除等操作</t>
  </si>
  <si>
    <t>应用管理</t>
  </si>
  <si>
    <t>用于对统一权限共同支撑的的应用信息进行管理，包括应用名称、应该编码、应用秘钥、入口地址等</t>
  </si>
  <si>
    <t>管理日志</t>
  </si>
  <si>
    <t>用于记录用户登录与操作平台的操作行为，包含操作人ID、操作人名称、登录IP、操作时间等</t>
  </si>
  <si>
    <r>
      <rPr>
        <color rgb="FF000000"/>
        <rFont val="Microsoft YaHei"/>
        <sz val="10"/>
      </rPr>
      <t xml:space="preserve">填写说明：
1、</t>
    </r>
    <r>
      <rPr>
        <color rgb="FFDE3C36"/>
        <rFont val="Microsoft YaHei"/>
        <sz val="10"/>
      </rPr>
      <t xml:space="preserve">红色</t>
    </r>
    <r>
      <rPr>
        <color rgb="FF000000"/>
        <rFont val="Microsoft YaHei"/>
        <sz val="10"/>
      </rPr>
      <t xml:space="preserve">部分由解决方案填写，</t>
    </r>
    <r>
      <rPr>
        <color rgb="FF2972F4"/>
        <rFont val="Microsoft YaHei"/>
        <sz val="10"/>
      </rPr>
      <t xml:space="preserve">蓝色</t>
    </r>
    <r>
      <rPr>
        <color rgb="FF000000"/>
        <rFont val="Microsoft YaHei"/>
        <sz val="10"/>
      </rPr>
      <t xml:space="preserve">部分由项目经理填写，</t>
    </r>
    <r>
      <rPr>
        <color rgb="FFF5C400"/>
        <rFont val="Microsoft YaHei"/>
        <sz val="10"/>
      </rPr>
      <t xml:space="preserve">橙色</t>
    </r>
    <r>
      <rPr>
        <color rgb="FF000000"/>
        <rFont val="Microsoft YaHei"/>
        <sz val="10"/>
      </rPr>
      <t xml:space="preserve">部分由交付运营填写，</t>
    </r>
    <r>
      <rPr>
        <color rgb="FF319B62"/>
        <rFont val="Microsoft YaHei"/>
        <sz val="10"/>
      </rPr>
      <t xml:space="preserve">绿色</t>
    </r>
    <r>
      <rPr>
        <color rgb="FF000000"/>
        <rFont val="Microsoft YaHei"/>
        <sz val="10"/>
      </rPr>
      <t xml:space="preserve">部分由产研侧填写
2、总成本=项目经理成本（含差旅）+交付实施成本（含差旅）+标品成本
3、人天单价参考（执行时间：2026年1月1日起）（以下均不区分级别）：
① 自有人天-交付处：1696元/天
    自有人天-数据产品处：1720元/天
    自有人天-智能地图处：1752元/天
    自有人天-公共组件处：1374元/天
    自有人天-公共服务业务处：2204元/天
    自有人天-行业售前方案处：2350元/天
    自有人天-企业产品研发处：3001元/天
②研发外包人员-除企服以外：995元/天
    研发外包人员-企服：1022元/天
③生产外包人员（不区分级别）：320元/天</t>
    </r>
  </si>
  <si>
    <t>运维阶段起止时间</t>
  </si>
  <si>
    <t>运维阶段总成本</t>
  </si>
  <si>
    <t>对应标准产品名称
（下拉选择）</t>
  </si>
  <si>
    <r>
      <rPr>
        <color rgb="FF000000"/>
        <rFont val="Microsoft YaHei"/>
        <sz val="10"/>
      </rPr>
      <t xml:space="preserve">填写说明：
1、</t>
    </r>
    <r>
      <rPr>
        <color rgb="FFDE3C36"/>
        <rFont val="Microsoft YaHei"/>
        <sz val="10"/>
      </rPr>
      <t xml:space="preserve">红色</t>
    </r>
    <r>
      <rPr>
        <color rgb="FF000000"/>
        <rFont val="Microsoft YaHei"/>
        <sz val="10"/>
      </rPr>
      <t xml:space="preserve">部分由解决方案填写，</t>
    </r>
    <r>
      <rPr>
        <color rgb="FF2972F4"/>
        <rFont val="Microsoft YaHei"/>
        <sz val="10"/>
      </rPr>
      <t xml:space="preserve">蓝色</t>
    </r>
    <r>
      <rPr>
        <color rgb="FF000000"/>
        <rFont val="Microsoft YaHei"/>
        <sz val="10"/>
      </rPr>
      <t xml:space="preserve">部分由项目经理填写，</t>
    </r>
    <r>
      <rPr>
        <color rgb="FFF5C400"/>
        <rFont val="Microsoft YaHei"/>
        <sz val="10"/>
      </rPr>
      <t xml:space="preserve">橙色</t>
    </r>
    <r>
      <rPr>
        <color rgb="FF000000"/>
        <rFont val="Microsoft YaHei"/>
        <sz val="10"/>
      </rPr>
      <t xml:space="preserve">部分由交付运营填写，</t>
    </r>
    <r>
      <rPr>
        <color rgb="FF319B62"/>
        <rFont val="Microsoft YaHei"/>
        <sz val="10"/>
      </rPr>
      <t xml:space="preserve">绿色</t>
    </r>
    <r>
      <rPr>
        <color rgb="FF000000"/>
        <rFont val="Microsoft YaHei"/>
        <sz val="10"/>
      </rPr>
      <t xml:space="preserve">部分由产研侧填写
2、总成本=项目经理成本（含差旅）+交付实施成本（含差旅）+标品成本
3、人天单价参考（执行时间：2025年7月1日起）：
①产研自有人天（不区分级别）：1750元/天；
②研发外包人员（不区分级别）：890元/天；
③生产外包人员（不区分级别）：320元/天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</si>
</sst>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0.0_ "/>
    <numFmt numFmtId="166" formatCode="_ * #,##0_ ;_ * \-#,##0_ ;_ * &quot;-&quot;_ ;_ @_ "/>
    <numFmt numFmtId="167" formatCode="#,##0.00_ "/>
    <numFmt numFmtId="168" formatCode="yyyy/m/d;@"/>
    <numFmt numFmtId="169" formatCode="0.0%"/>
  </numFmts>
  <fonts count="13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9"/>
      <color rgb="FF000000"/>
      <name val="宋体"/>
    </font>
    <font>
      <sz val="11"/>
      <color rgb="FF000000"/>
      <name val="宋体"/>
    </font>
    <font>
      <sz val="10"/>
      <color rgb="FF000000"/>
      <name val="Microsoft YaHei"/>
    </font>
    <font>
      <sz val="10"/>
      <color rgb="FF000000"/>
      <name val="宋体"/>
    </font>
    <font>
      <b/>
      <sz val="10"/>
      <color rgb="FF000000"/>
      <name val="Microsoft YaHei"/>
    </font>
    <font>
      <b/>
      <sz val="10"/>
      <color rgb="FFFFFFFF"/>
      <name val="微软雅黑"/>
    </font>
    <font>
      <b/>
      <sz val="11"/>
      <color rgb="FFFFFFFF"/>
      <name val="微软雅黑"/>
    </font>
    <font>
      <b/>
      <sz val="10"/>
      <color rgb="FF000000"/>
      <name val="微软雅黑"/>
    </font>
    <font>
      <sz val="11"/>
      <color rgb="FF000000"/>
      <name val="微软雅黑"/>
    </font>
    <font>
      <sz val="10"/>
      <color rgb="FF000000"/>
      <name val="微软雅黑"/>
    </font>
    <font>
      <b/>
      <sz val="10"/>
      <color rgb="FFFFFFFF"/>
      <name val="Microsoft YaHei"/>
    </font>
    <font>
      <b/>
      <sz val="12"/>
      <color rgb="FFFFFFFF"/>
      <name val="微软雅黑"/>
    </font>
    <font>
      <b/>
      <sz val="14"/>
      <color rgb="FF000000"/>
      <name val="Microsoft YaHei"/>
    </font>
    <font>
      <b/>
      <i/>
      <u/>
      <sz val="10"/>
      <color rgb="FF000000"/>
      <name val="Microsoft YaHei"/>
    </font>
    <font>
      <b/>
      <sz val="9"/>
      <color rgb="FF000000"/>
      <name val="Microsoft YaHei"/>
    </font>
    <font>
      <b/>
      <i/>
      <sz val="9"/>
      <color rgb="FF000000"/>
      <name val="Microsoft YaHei"/>
    </font>
    <font>
      <sz val="10"/>
      <color rgb="FF2972F4"/>
      <name val="Microsoft YaHei"/>
    </font>
    <font>
      <sz val="10"/>
      <color rgb="FFFF0000"/>
      <name val="Microsoft YaHei"/>
    </font>
    <font>
      <i/>
      <sz val="10"/>
      <color rgb="FF000000"/>
      <name val="Microsoft YaHei"/>
    </font>
    <font>
      <b/>
      <sz val="10"/>
      <color rgb="FFFF0000"/>
      <name val="Microsoft YaHei"/>
    </font>
    <font>
      <sz val="9"/>
      <color rgb="FF000000"/>
      <name val="Microsoft YaHei"/>
    </font>
    <font>
      <b/>
      <i/>
      <u/>
      <sz val="12"/>
      <color rgb="FF000000"/>
      <name val="Microsoft YaHei"/>
    </font>
    <font>
      <b/>
      <sz val="10"/>
      <color rgb="FFC00000"/>
      <name val="Microsoft YaHei"/>
    </font>
    <font>
      <i/>
      <sz val="9"/>
      <color rgb="FF000000"/>
      <name val="Microsoft YaHei"/>
    </font>
    <font>
      <sz val="11"/>
      <color rgb="FF000000"/>
      <name val="Microsoft YaHei"/>
    </font>
    <font>
      <sz val="11"/>
      <color rgb="FF0070C0"/>
      <name val="微软雅黑"/>
    </font>
    <font>
      <b/>
      <sz val="10"/>
      <color rgb="FFFFFFFF"/>
      <name val="宋体"/>
    </font>
    <font>
      <sz val="10"/>
      <color rgb="FF0070C0"/>
      <name val="Microsoft YaHei"/>
    </font>
    <font>
      <sz val="10"/>
      <color rgb="FF0070C0"/>
      <name val="宋体"/>
    </font>
    <font>
      <sz val="10"/>
      <color rgb="FFFF0000"/>
      <name val="微软雅黑"/>
    </font>
    <font>
      <b/>
      <sz val="10"/>
      <color rgb="FF485368"/>
      <name val="宋体"/>
    </font>
    <font>
      <b/>
      <sz val="10"/>
      <color rgb="FF000000"/>
      <name val="宋体"/>
    </font>
    <font>
      <b/>
      <sz val="11"/>
      <color rgb="FF000000"/>
      <name val="微软雅黑"/>
    </font>
    <font>
      <sz val="12"/>
      <color rgb="FF000000"/>
      <name val="微软雅黑"/>
    </font>
    <font>
      <sz val="10"/>
      <color rgb="FF2972F4"/>
      <name val="微软雅黑"/>
    </font>
    <font>
      <b/>
      <sz val="10"/>
      <color rgb="FFC00000"/>
      <name val="微软雅黑"/>
    </font>
    <font>
      <b/>
      <sz val="10"/>
      <color rgb="FF00B050"/>
      <name val="微软雅黑"/>
    </font>
    <font>
      <sz val="10"/>
      <color rgb="FF0070C0"/>
      <name val="微软雅黑"/>
    </font>
    <font>
      <sz val="10"/>
      <color rgb="FF939393"/>
      <name val="微软雅黑"/>
    </font>
    <font>
      <b/>
      <sz val="10"/>
      <color rgb="FFFF0000"/>
      <name val="微软雅黑"/>
    </font>
    <font>
      <b/>
      <sz val="16"/>
      <color rgb="FFFFFFFF"/>
      <name val="微软雅黑"/>
    </font>
    <font>
      <b/>
      <sz val="10"/>
      <color rgb="FF1F3864"/>
      <name val="微软雅黑"/>
    </font>
    <font>
      <b/>
      <sz val="9"/>
      <color rgb="FFFFFFFF"/>
      <name val="微软雅黑"/>
    </font>
    <font>
      <b/>
      <sz val="8"/>
      <color rgb="FF2E5F8A"/>
      <name val="微软雅黑"/>
    </font>
    <font>
      <sz val="9"/>
      <color rgb="FF000000"/>
      <name val="微软雅黑"/>
    </font>
    <font>
      <b/>
      <sz val="9"/>
      <color rgb="FF000000"/>
      <name val="微软雅黑"/>
    </font>
    <font>
      <sz val="8"/>
      <color rgb="FF000000"/>
      <name val="微软雅黑"/>
    </font>
    <font>
      <sz val="8"/>
      <color rgb="FF548235"/>
      <name val="微软雅黑"/>
    </font>
    <font>
      <sz val="8"/>
      <color rgb="FFBF8F00"/>
      <name val="微软雅黑"/>
    </font>
    <font>
      <sz val="8"/>
      <color rgb="FFC00000"/>
      <name val="微软雅黑"/>
    </font>
    <font>
      <sz val="8"/>
      <color rgb="FF666666"/>
      <name val="微软雅黑"/>
    </font>
    <font>
      <sz val="10"/>
      <color rgb="FF000000"/>
      <name val="default"/>
    </font>
    <font>
      <b/>
      <sz val="18"/>
      <color rgb="FFFFFFFF"/>
      <name val="微软雅黑"/>
    </font>
    <font>
      <sz val="10"/>
      <color rgb="FF2E5F8A"/>
      <name val="微软雅黑"/>
    </font>
    <font>
      <b/>
      <sz val="13"/>
      <color rgb="FFFFFFFF"/>
      <name val="微软雅黑"/>
    </font>
    <font>
      <b/>
      <sz val="12"/>
      <color rgb="FF1F3864"/>
      <name val="微软雅黑"/>
    </font>
    <font>
      <b/>
      <sz val="9"/>
      <color rgb="FFC00000"/>
      <name val="微软雅黑"/>
    </font>
    <font>
      <b/>
      <sz val="9"/>
      <color rgb="FF2E5F8A"/>
      <name val="微软雅黑"/>
    </font>
    <font>
      <sz val="10"/>
      <color rgb="FF000000"/>
      <name val="等线"/>
    </font>
    <font>
      <sz val="14"/>
      <color rgb="FF000000"/>
      <name val="宋体"/>
    </font>
    <font>
      <b/>
      <sz val="11"/>
      <color rgb="FF000000"/>
      <name val="宋体"/>
    </font>
    <font>
      <sz val="10"/>
      <color rgb="FF1F3864"/>
      <name val="微软雅黑"/>
    </font>
    <font>
      <sz val="10"/>
      <color rgb="FF000000"/>
      <name val="微软雅黑"/>
    </font>
    <font>
      <sz val="9"/>
      <color rgb="FF000000"/>
      <name val="微软雅黑"/>
    </font>
    <font>
      <sz val="10"/>
      <color rgb="FF000000"/>
      <name val="微软雅黑"/>
    </font>
    <font>
      <sz val="9"/>
      <color rgb="FF000000"/>
      <name val="微软雅黑"/>
    </font>
    <font>
      <sz val="9"/>
      <color rgb="FF000000"/>
      <name val="微软雅黑"/>
    </font>
    <font>
      <sz val="9"/>
      <color rgb="FF000000"/>
      <name val="微软雅黑"/>
    </font>
    <font>
      <sz val="9"/>
      <color rgb="FF000000"/>
      <name val="微软雅黑"/>
    </font>
    <font>
      <sz val="9"/>
      <color rgb="FF000000"/>
      <name val="微软雅黑"/>
    </font>
    <font>
      <sz val="10"/>
      <color rgb="FF000000"/>
      <name val="微软雅黑"/>
    </font>
    <font>
      <sz val="9"/>
      <color rgb="FF000000"/>
      <name val="微软雅黑"/>
    </font>
    <font>
      <sz val="9"/>
      <color rgb="FF000000"/>
      <name val="微软雅黑"/>
    </font>
    <font>
      <sz val="9"/>
      <color rgb="FF000000"/>
      <name val="微软雅黑"/>
    </font>
    <font>
      <sz val="9"/>
      <color rgb="FF000000"/>
      <name val="微软雅黑"/>
    </font>
    <font>
      <sz val="9"/>
      <color rgb="FF000000"/>
      <name val="微软雅黑"/>
    </font>
    <font>
      <sz val="9"/>
      <color rgb="FF000000"/>
      <name val="微软雅黑"/>
    </font>
    <font>
      <sz val="10"/>
      <color rgb="FF000000"/>
      <name val="微软雅黑"/>
    </font>
    <font>
      <sz val="9"/>
      <color rgb="FF000000"/>
      <name val="微软雅黑"/>
    </font>
    <font>
      <sz val="9"/>
      <color rgb="FF000000"/>
      <name val="微软雅黑"/>
    </font>
    <font>
      <sz val="9"/>
      <color rgb="FF000000"/>
      <name val="微软雅黑"/>
    </font>
    <font>
      <sz val="9"/>
      <color rgb="FF000000"/>
      <name val="微软雅黑"/>
    </font>
    <font>
      <sz val="9"/>
      <color rgb="FF000000"/>
      <name val="微软雅黑"/>
    </font>
    <font>
      <b/>
      <sz val="9"/>
      <color rgb="FFFFFFFF"/>
      <name val="微软雅黑"/>
    </font>
    <font>
      <b/>
      <sz val="9"/>
      <color rgb="FFFFFFFF"/>
      <name val="微软雅黑"/>
    </font>
    <font>
      <b/>
      <sz val="9"/>
      <color rgb="FFFFFFFF"/>
      <name val="微软雅黑"/>
    </font>
    <font>
      <b/>
      <sz val="9"/>
      <color rgb="FFFFFFFF"/>
      <name val="微软雅黑"/>
    </font>
    <font>
      <b/>
      <sz val="9"/>
      <color rgb="FFFFFFFF"/>
      <name val="微软雅黑"/>
    </font>
    <font>
      <b/>
      <sz val="9"/>
      <color rgb="FFFFFFFF"/>
      <name val="微软雅黑"/>
    </font>
    <font>
      <sz val="8"/>
      <color rgb="FFC00000"/>
      <name val="微软雅黑"/>
    </font>
    <font>
      <sz val="10"/>
      <color rgb="FF000000"/>
      <name val="微软雅黑"/>
    </font>
    <font>
      <b/>
      <sz val="9"/>
      <color rgb="FFFFFFFF"/>
      <name val="微软雅黑"/>
    </font>
    <font>
      <b/>
      <sz val="9"/>
      <color rgb="FFFFFFFF"/>
      <name val="微软雅黑"/>
    </font>
    <font>
      <b/>
      <sz val="9"/>
      <color rgb="FFFFFFFF"/>
      <name val="微软雅黑"/>
    </font>
    <font>
      <b/>
      <sz val="9"/>
      <color rgb="FFFFFFFF"/>
      <name val="微软雅黑"/>
    </font>
    <font>
      <b/>
      <sz val="9"/>
      <color rgb="FFFFFFFF"/>
      <name val="微软雅黑"/>
    </font>
    <font>
      <b/>
      <sz val="9"/>
      <color rgb="FFFFFFFF"/>
      <name val="微软雅黑"/>
    </font>
    <font>
      <sz val="8"/>
      <color rgb="FF548235"/>
      <name val="微软雅黑"/>
    </font>
    <font>
      <sz val="8"/>
      <color rgb="FF548235"/>
      <name val="微软雅黑"/>
    </font>
    <font>
      <sz val="8"/>
      <color rgb="FFBF8F00"/>
      <name val="微软雅黑"/>
    </font>
    <font>
      <sz val="8"/>
      <color rgb="FFC00000"/>
      <name val="微软雅黑"/>
    </font>
    <font>
      <sz val="11"/>
      <color rgb="FF000000"/>
      <name val="宋体"/>
    </font>
    <font>
      <sz val="8"/>
      <color rgb="FF548235"/>
      <name val="微软雅黑"/>
    </font>
    <font>
      <sz val="8"/>
      <color rgb="FFBF8F00"/>
      <name val="微软雅黑"/>
    </font>
    <font>
      <sz val="8"/>
      <color rgb="FFC00000"/>
      <name val="微软雅黑"/>
    </font>
    <font>
      <sz val="11"/>
      <color rgb="FF000000"/>
      <name val="宋体"/>
    </font>
    <font>
      <sz val="8"/>
      <color rgb="FF548235"/>
      <name val="微软雅黑"/>
    </font>
    <font>
      <sz val="8"/>
      <color rgb="FFBF8F00"/>
      <name val="微软雅黑"/>
    </font>
    <font>
      <b/>
      <sz val="9"/>
      <color rgb="FFFFFFFF"/>
      <name val="微软雅黑"/>
    </font>
    <font>
      <b/>
      <sz val="9"/>
      <color rgb="FFFFFFFF"/>
      <name val="微软雅黑"/>
    </font>
    <font>
      <b/>
      <sz val="9"/>
      <color rgb="FFFFFFFF"/>
      <name val="微软雅黑"/>
    </font>
    <font>
      <b/>
      <sz val="9"/>
      <color rgb="FFFFFFFF"/>
      <name val="微软雅黑"/>
    </font>
    <font>
      <b/>
      <sz val="9"/>
      <color rgb="FFFFFFFF"/>
      <name val="微软雅黑"/>
    </font>
    <font>
      <b/>
      <sz val="9"/>
      <color rgb="FFFFFFFF"/>
      <name val="微软雅黑"/>
    </font>
    <font>
      <sz val="8"/>
      <color rgb="FFBF8F00"/>
      <name val="微软雅黑"/>
    </font>
    <font>
      <b/>
      <sz val="10"/>
      <color rgb="FF00B05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70C0"/>
      <name val="微软雅黑"/>
    </font>
    <font>
      <b/>
      <sz val="10"/>
      <color rgb="FF485368"/>
      <name val="宋体"/>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b/>
      <sz val="9"/>
      <color rgb="FF000000"/>
      <name val="Microsoft YaHei"/>
    </font>
  </fonts>
  <fills count="36">
    <fill>
      <patternFill patternType="none"/>
    </fill>
    <fill>
      <patternFill patternType="gray125"/>
    </fill>
    <fill>
      <patternFill patternType="solid">
        <fgColor rgb="FFFFFFFF"/>
      </patternFill>
    </fill>
    <fill>
      <patternFill patternType="solid">
        <fgColor rgb="FF31859B"/>
      </patternFill>
    </fill>
    <fill>
      <patternFill patternType="solid">
        <fgColor rgb="FF485368"/>
      </patternFill>
    </fill>
    <fill>
      <patternFill patternType="solid">
        <fgColor rgb="FF2972F4"/>
      </patternFill>
    </fill>
    <fill>
      <patternFill patternType="solid">
        <fgColor rgb="FFFFC9C7"/>
      </patternFill>
    </fill>
    <fill>
      <patternFill patternType="solid">
        <fgColor rgb="FFC3EAD5"/>
      </patternFill>
    </fill>
    <fill>
      <patternFill patternType="solid">
        <fgColor rgb="FFFFEEAD"/>
      </patternFill>
    </fill>
    <fill>
      <patternFill patternType="solid">
        <fgColor rgb="FFE5F6FF"/>
      </patternFill>
    </fill>
    <fill>
      <patternFill patternType="solid">
        <fgColor rgb="FFFDEBFF"/>
      </patternFill>
    </fill>
    <fill>
      <patternFill patternType="solid">
        <fgColor rgb="FFFFF3EB"/>
      </patternFill>
    </fill>
    <fill>
      <patternFill patternType="solid">
        <fgColor rgb="FFF2F2F2"/>
      </patternFill>
    </fill>
    <fill>
      <patternFill patternType="solid">
        <fgColor rgb="FFE5EFFF"/>
      </patternFill>
    </fill>
    <fill>
      <patternFill patternType="solid">
        <fgColor rgb="FFF2C7FF"/>
      </patternFill>
    </fill>
    <fill>
      <patternFill patternType="solid">
        <fgColor rgb="FFFFE9E8"/>
      </patternFill>
    </fill>
    <fill>
      <patternFill patternType="solid">
        <fgColor rgb="FFEAFAF1"/>
      </patternFill>
    </fill>
    <fill>
      <patternFill patternType="solid">
        <fgColor rgb="FFF3F5F7"/>
      </patternFill>
    </fill>
    <fill>
      <patternFill patternType="solid">
        <fgColor rgb="FFFFF9E3"/>
      </patternFill>
    </fill>
    <fill>
      <patternFill patternType="solid">
        <fgColor rgb="FF2F5597"/>
      </patternFill>
    </fill>
    <fill>
      <patternFill patternType="solid">
        <fgColor rgb="FFD8D8D8"/>
      </patternFill>
    </fill>
    <fill>
      <patternFill patternType="solid">
        <fgColor rgb="FFB8CCE4"/>
      </patternFill>
    </fill>
    <fill>
      <patternFill patternType="solid">
        <fgColor rgb="FFE5E0EC"/>
      </patternFill>
    </fill>
    <fill>
      <patternFill patternType="solid">
        <fgColor rgb="FFF2DBDB"/>
      </patternFill>
    </fill>
    <fill>
      <patternFill patternType="solid">
        <fgColor rgb="FF1F3864"/>
      </patternFill>
    </fill>
    <fill>
      <patternFill patternType="solid">
        <fgColor rgb="FF2E5F8A"/>
      </patternFill>
    </fill>
    <fill>
      <patternFill patternType="solid">
        <fgColor rgb="FFD6E4F0"/>
      </patternFill>
    </fill>
    <fill>
      <patternFill patternType="solid">
        <fgColor rgb="FFEBF1DD"/>
      </patternFill>
    </fill>
    <fill>
      <patternFill patternType="solid">
        <fgColor rgb="FFE2EFDA"/>
      </patternFill>
    </fill>
    <fill>
      <patternFill patternType="solid">
        <fgColor rgb="FFFFF2CC"/>
      </patternFill>
    </fill>
    <fill>
      <patternFill patternType="solid">
        <fgColor rgb="FFFCE4EC"/>
      </patternFill>
    </fill>
    <fill>
      <patternFill patternType="solid">
        <fgColor rgb="FFEDF2F9"/>
      </patternFill>
    </fill>
    <fill>
      <patternFill patternType="solid">
        <fgColor rgb="FF548235"/>
      </patternFill>
    </fill>
    <fill>
      <patternFill patternType="solid">
        <fgColor rgb="FFBF8F00"/>
      </patternFill>
    </fill>
    <fill>
      <patternFill patternType="solid">
        <fgColor rgb="FFC00000"/>
      </patternFill>
    </fill>
    <fill>
      <patternFill patternType="solid">
        <fgColor rgb="FF00B14D"/>
      </patternFill>
    </fill>
  </fills>
  <borders count="67">
    <border>
      <left/>
      <right/>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style="thin">
        <color rgb="FFFFFFFF"/>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medium">
        <color rgb="FF000000"/>
      </left>
      <right style="dotted">
        <color rgb="FF939393"/>
      </right>
      <top style="medium">
        <color rgb="FF000000"/>
      </top>
      <bottom style="dotted">
        <color rgb="FF939393"/>
      </bottom>
      <diagonal/>
    </border>
    <border>
      <left style="dotted">
        <color rgb="FF939393"/>
      </left>
      <right style="dotted">
        <color rgb="FF939393"/>
      </right>
      <top style="medium">
        <color rgb="FF000000"/>
      </top>
      <bottom style="dotted">
        <color rgb="FF939393"/>
      </bottom>
      <diagonal/>
    </border>
    <border>
      <left style="dotted">
        <color rgb="FF939393"/>
      </left>
      <right style="medium">
        <color rgb="FF000000"/>
      </right>
      <top style="medium">
        <color rgb="FF000000"/>
      </top>
      <bottom style="dotted">
        <color rgb="FF939393"/>
      </bottom>
      <diagonal/>
    </border>
    <border>
      <left style="medium">
        <color rgb="FF000000"/>
      </left>
      <right style="dotted">
        <color rgb="FF939393"/>
      </right>
      <top style="dotted">
        <color rgb="FF939393"/>
      </top>
      <bottom style="dotted">
        <color rgb="FF939393"/>
      </bottom>
      <diagonal/>
    </border>
    <border>
      <left style="dotted">
        <color rgb="FF939393"/>
      </left>
      <right style="dotted">
        <color rgb="FF939393"/>
      </right>
      <top style="dotted">
        <color rgb="FF939393"/>
      </top>
      <bottom style="dotted">
        <color rgb="FF939393"/>
      </bottom>
      <diagonal/>
    </border>
    <border>
      <left style="dotted">
        <color rgb="FF939393"/>
      </left>
      <right style="medium">
        <color rgb="FF000000"/>
      </right>
      <top style="dotted">
        <color rgb="FF939393"/>
      </top>
      <bottom style="dotted">
        <color rgb="FF939393"/>
      </bottom>
      <diagonal/>
    </border>
    <border>
      <left style="dotted">
        <color rgb="FF939393"/>
      </left>
      <right/>
      <top style="dotted">
        <color rgb="FF939393"/>
      </top>
      <bottom style="dotted">
        <color rgb="FF939393"/>
      </bottom>
      <diagonal/>
    </border>
    <border>
      <left/>
      <right style="medium">
        <color rgb="FF000000"/>
      </right>
      <top style="dotted">
        <color rgb="FF939393"/>
      </top>
      <bottom style="dotted">
        <color rgb="FF939393"/>
      </bottom>
      <diagonal/>
    </border>
    <border>
      <left style="medium">
        <color rgb="FF000000"/>
      </left>
      <right style="dotted">
        <color rgb="FF939393"/>
      </right>
      <top style="dotted">
        <color rgb="FF939393"/>
      </top>
      <bottom/>
      <diagonal/>
    </border>
    <border>
      <left style="medium">
        <color rgb="FF000000"/>
      </left>
      <right style="dotted">
        <color rgb="FF939393"/>
      </right>
      <top/>
      <bottom/>
      <diagonal/>
    </border>
    <border>
      <left style="medium">
        <color rgb="FF000000"/>
      </left>
      <right style="dotted">
        <color rgb="FF939393"/>
      </right>
      <top/>
      <bottom style="dotted">
        <color rgb="FF939393"/>
      </bottom>
      <diagonal/>
    </border>
    <border>
      <left style="medium">
        <color rgb="FF000000"/>
      </left>
      <right style="dashed">
        <color rgb="FF7F7F7F"/>
      </right>
      <top/>
      <bottom style="medium">
        <color rgb="FF000000"/>
      </bottom>
      <diagonal/>
    </border>
    <border>
      <left style="dashed">
        <color rgb="FF7F7F7F"/>
      </left>
      <right/>
      <top/>
      <bottom style="medium">
        <color rgb="FF000000"/>
      </bottom>
      <diagonal/>
    </border>
    <border>
      <left/>
      <right/>
      <top/>
      <bottom style="medium">
        <color rgb="FF000000"/>
      </bottom>
      <diagonal/>
    </border>
    <border>
      <left/>
      <right style="dashed">
        <color rgb="FF7F7F7F"/>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thin">
        <color rgb="FFB4B4B4"/>
      </right>
      <top style="thin">
        <color rgb="FF000000"/>
      </top>
      <bottom style="thin">
        <color rgb="FFB4B4B4"/>
      </bottom>
      <diagonal/>
    </border>
    <border>
      <left style="thin">
        <color rgb="FFB4B4B4"/>
      </left>
      <right style="thin">
        <color rgb="FFB4B4B4"/>
      </right>
      <top style="thin">
        <color rgb="FF000000"/>
      </top>
      <bottom style="thin">
        <color rgb="FFB4B4B4"/>
      </bottom>
      <diagonal/>
    </border>
    <border>
      <left style="thin">
        <color rgb="FFB4B4B4"/>
      </left>
      <right style="thin">
        <color rgb="FF000000"/>
      </right>
      <top style="thin">
        <color rgb="FF000000"/>
      </top>
      <bottom style="thin">
        <color rgb="FFB4B4B4"/>
      </bottom>
      <diagonal/>
    </border>
    <border>
      <left/>
      <right style="thin">
        <color rgb="FF000000"/>
      </right>
      <top/>
      <bottom/>
      <diagonal/>
    </border>
    <border>
      <left style="thin">
        <color rgb="FF000000"/>
      </left>
      <right style="thin">
        <color rgb="FFB4B4B4"/>
      </right>
      <top style="thin">
        <color rgb="FFB4B4B4"/>
      </top>
      <bottom style="thin">
        <color rgb="FFB4B4B4"/>
      </bottom>
      <diagonal/>
    </border>
    <border>
      <left style="thin">
        <color rgb="FFB4B4B4"/>
      </left>
      <right style="thin">
        <color rgb="FFB4B4B4"/>
      </right>
      <top style="thin">
        <color rgb="FFB4B4B4"/>
      </top>
      <bottom style="thin">
        <color rgb="FFB4B4B4"/>
      </bottom>
      <diagonal/>
    </border>
    <border>
      <left style="thin">
        <color rgb="FFB4B4B4"/>
      </left>
      <right style="thin">
        <color rgb="FF000000"/>
      </right>
      <top style="thin">
        <color rgb="FFB4B4B4"/>
      </top>
      <bottom style="thin">
        <color rgb="FFB4B4B4"/>
      </bottom>
      <diagonal/>
    </border>
    <border>
      <left style="thin">
        <color rgb="FFB4B4B4"/>
      </left>
      <right/>
      <top style="thin">
        <color rgb="FFB4B4B4"/>
      </top>
      <bottom style="thin">
        <color rgb="FFB4B4B4"/>
      </bottom>
      <diagonal/>
    </border>
    <border>
      <left/>
      <right/>
      <top style="thin">
        <color rgb="FFB4B4B4"/>
      </top>
      <bottom style="thin">
        <color rgb="FFB4B4B4"/>
      </bottom>
      <diagonal/>
    </border>
    <border>
      <left/>
      <right style="thin">
        <color rgb="FF000000"/>
      </right>
      <top style="thin">
        <color rgb="FFB4B4B4"/>
      </top>
      <bottom style="thin">
        <color rgb="FFB4B4B4"/>
      </bottom>
      <diagonal/>
    </border>
    <border>
      <left style="thin">
        <color rgb="FF000000"/>
      </left>
      <right style="thin">
        <color rgb="FFB4B4B4"/>
      </right>
      <top style="thin">
        <color rgb="FFB4B4B4"/>
      </top>
      <bottom/>
      <diagonal/>
    </border>
    <border>
      <left style="thin">
        <color rgb="FFB4B4B4"/>
      </left>
      <right style="thin">
        <color rgb="FFB4B4B4"/>
      </right>
      <top style="thin">
        <color rgb="FFB4B4B4"/>
      </top>
      <bottom/>
      <diagonal/>
    </border>
    <border>
      <left style="thin">
        <color rgb="FFB4B4B4"/>
      </left>
      <right/>
      <top style="thin">
        <color rgb="FFB4B4B4"/>
      </top>
      <bottom/>
      <diagonal/>
    </border>
    <border>
      <left/>
      <right/>
      <top style="thin">
        <color rgb="FFB4B4B4"/>
      </top>
      <bottom/>
      <diagonal/>
    </border>
    <border>
      <left/>
      <right style="thin">
        <color rgb="FF000000"/>
      </right>
      <top style="thin">
        <color rgb="FFB4B4B4"/>
      </top>
      <bottom/>
      <diagonal/>
    </border>
    <border>
      <left style="medium">
        <color rgb="FF000000"/>
      </left>
      <right/>
      <top style="medium">
        <color rgb="FF000000"/>
      </top>
      <bottom style="thin">
        <color rgb="FFB4B4B4"/>
      </bottom>
      <diagonal/>
    </border>
    <border>
      <left/>
      <right/>
      <top style="medium">
        <color rgb="FF000000"/>
      </top>
      <bottom style="thin">
        <color rgb="FFB4B4B4"/>
      </bottom>
      <diagonal/>
    </border>
    <border>
      <left/>
      <right style="medium">
        <color rgb="FF000000"/>
      </right>
      <top style="medium">
        <color rgb="FF000000"/>
      </top>
      <bottom style="thin">
        <color rgb="FFB4B4B4"/>
      </bottom>
      <diagonal/>
    </border>
    <border>
      <left style="medium">
        <color rgb="FF000000"/>
      </left>
      <right style="thin">
        <color rgb="FFB4B4B4"/>
      </right>
      <top style="thin">
        <color rgb="FFB4B4B4"/>
      </top>
      <bottom style="thin">
        <color rgb="FFB4B4B4"/>
      </bottom>
      <diagonal/>
    </border>
    <border>
      <left/>
      <right style="thin">
        <color rgb="FFB4B4B4"/>
      </right>
      <top style="thin">
        <color rgb="FFB4B4B4"/>
      </top>
      <bottom style="thin">
        <color rgb="FFB4B4B4"/>
      </bottom>
      <diagonal/>
    </border>
    <border>
      <left/>
      <right style="medium">
        <color rgb="FF000000"/>
      </right>
      <top style="thin">
        <color rgb="FFB4B4B4"/>
      </top>
      <bottom style="thin">
        <color rgb="FFB4B4B4"/>
      </bottom>
      <diagonal/>
    </border>
    <border>
      <left style="medium">
        <color rgb="FF000000"/>
      </left>
      <right style="thin">
        <color rgb="FFB4B4B4"/>
      </right>
      <top style="thin">
        <color rgb="FFB4B4B4"/>
      </top>
      <bottom style="medium">
        <color rgb="FF000000"/>
      </bottom>
      <diagonal/>
    </border>
    <border>
      <left style="thin">
        <color rgb="FFB4B4B4"/>
      </left>
      <right style="thin">
        <color rgb="FFB4B4B4"/>
      </right>
      <top style="thin">
        <color rgb="FFB4B4B4"/>
      </top>
      <bottom style="medium">
        <color rgb="FF000000"/>
      </bottom>
      <diagonal/>
    </border>
    <border>
      <left style="thin">
        <color rgb="FFB4B4B4"/>
      </left>
      <right/>
      <top style="thin">
        <color rgb="FFB4B4B4"/>
      </top>
      <bottom style="medium">
        <color rgb="FF000000"/>
      </bottom>
      <diagonal/>
    </border>
    <border>
      <left/>
      <right/>
      <top style="thin">
        <color rgb="FFB4B4B4"/>
      </top>
      <bottom style="medium">
        <color rgb="FF000000"/>
      </bottom>
      <diagonal/>
    </border>
    <border>
      <left/>
      <right style="medium">
        <color rgb="FF000000"/>
      </right>
      <top style="thin">
        <color rgb="FFB4B4B4"/>
      </top>
      <bottom style="medium">
        <color rgb="FF000000"/>
      </bottom>
      <diagonal/>
    </border>
    <border>
      <left style="thin">
        <color rgb="FFB4B4B4"/>
      </left>
      <right style="thin">
        <color rgb="FFB4B4B4"/>
      </right>
      <top style="thin">
        <color rgb="FFB4B4B4"/>
      </top>
      <bottom style="thin">
        <color rgb="FF000000"/>
      </bottom>
      <diagonal/>
    </border>
    <border>
      <left style="thin">
        <color rgb="FF000000"/>
      </left>
      <right style="thin">
        <color rgb="FFB4B4B4"/>
      </right>
      <top style="thin">
        <color rgb="FFB4B4B4"/>
      </top>
      <bottom style="thin">
        <color rgb="FF000000"/>
      </bottom>
      <diagonal/>
    </border>
    <border>
      <left style="thin">
        <color rgb="FFB4B4B4"/>
      </left>
      <right style="thin">
        <color rgb="FF000000"/>
      </right>
      <top style="thin">
        <color rgb="FFB4B4B4"/>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1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general" vertical="center"/>
    </xf>
    <xf numFmtId="0" fontId="6" fillId="0" borderId="0" xfId="0" applyFont="1">
      <alignment horizontal="general" vertical="center"/>
    </xf>
    <xf numFmtId="0" fontId="6" fillId="0" borderId="0" xfId="0" applyFont="1">
      <alignment horizontal="center" vertical="center"/>
    </xf>
    <xf numFmtId="0" fontId="7" fillId="0" borderId="0" xfId="0" applyFont="1">
      <alignment horizontal="general" vertical="center"/>
    </xf>
    <xf numFmtId="0" fontId="8" fillId="2" borderId="0" xfId="0" applyFont="1" applyFill="1">
      <alignment horizontal="general" vertical="center"/>
    </xf>
    <xf numFmtId="0" fontId="9" fillId="3" borderId="1" xfId="0" applyFont="1" applyFill="1" applyBorder="1" applyProtection="1">
      <alignment horizontal="center" vertical="center"/>
    </xf>
    <xf numFmtId="0" fontId="10" fillId="3" borderId="2" xfId="0" applyFont="1" applyFill="1" applyBorder="1" applyProtection="1">
      <alignment horizontal="center" vertical="center"/>
    </xf>
    <xf numFmtId="0" fontId="11" fillId="0" borderId="3" xfId="0" applyFont="1" applyBorder="1" applyProtection="1">
      <alignment horizontal="center" vertical="center"/>
    </xf>
    <xf numFmtId="0" fontId="12" fillId="0" borderId="4" xfId="0" applyFont="1" applyBorder="1" applyProtection="1">
      <alignment horizontal="center" vertical="center"/>
    </xf>
    <xf numFmtId="0" fontId="13" fillId="0" borderId="0" xfId="0" applyFont="1">
      <alignment horizontal="general" vertical="center"/>
    </xf>
    <xf numFmtId="0" fontId="10" fillId="3" borderId="5" xfId="0" applyFont="1" applyFill="1" applyBorder="1" applyProtection="1">
      <alignment horizontal="center" vertical="center"/>
    </xf>
    <xf numFmtId="164" fontId="11" fillId="0" borderId="1" xfId="0" applyNumberFormat="1" applyFont="1" applyBorder="1" applyProtection="1">
      <alignment horizontal="center" vertical="center"/>
    </xf>
    <xf numFmtId="0" fontId="5" fillId="0" borderId="6" xfId="0" applyFont="1" applyBorder="1" applyProtection="1">
      <alignment horizontal="general" vertical="center"/>
    </xf>
    <xf numFmtId="165" fontId="14" fillId="4" borderId="7" xfId="0" applyNumberFormat="1" applyFont="1" applyFill="1" applyBorder="1" applyProtection="1">
      <alignment horizontal="right" vertical="center"/>
    </xf>
    <xf numFmtId="0" fontId="5" fillId="0" borderId="7" xfId="0" applyFont="1" applyBorder="1" applyProtection="1">
      <alignment horizontal="general" vertical="center"/>
    </xf>
    <xf numFmtId="0" fontId="5" fillId="0" borderId="8" xfId="0" applyFont="1" applyBorder="1" applyProtection="1">
      <alignment horizontal="general" vertical="center"/>
    </xf>
    <xf numFmtId="3" fontId="15" fillId="5" borderId="7" xfId="0" applyNumberFormat="1" applyFont="1" applyFill="1" applyBorder="1" applyProtection="1">
      <alignment horizontal="right" vertical="center"/>
    </xf>
    <xf numFmtId="164" fontId="14" fillId="4" borderId="7" xfId="0" applyNumberFormat="1" applyFont="1" applyFill="1" applyBorder="1" applyProtection="1">
      <alignment horizontal="center" vertical="center" wrapText="1"/>
    </xf>
    <xf numFmtId="164" fontId="14" fillId="4" borderId="8" xfId="0" applyNumberFormat="1" applyFont="1" applyFill="1" applyBorder="1" applyProtection="1">
      <alignment horizontal="center" vertical="center" wrapText="1"/>
    </xf>
    <xf numFmtId="164" fontId="14" fillId="4" borderId="9" xfId="0" applyNumberFormat="1" applyFont="1" applyFill="1" applyBorder="1" applyProtection="1">
      <alignment horizontal="center" vertical="center" wrapText="1"/>
    </xf>
    <xf numFmtId="164" fontId="14" fillId="4" borderId="10" xfId="0" applyNumberFormat="1" applyFont="1" applyFill="1" applyBorder="1" applyProtection="1">
      <alignment horizontal="center" vertical="bottom" wrapText="1"/>
    </xf>
    <xf numFmtId="164" fontId="14" fillId="4" borderId="10" xfId="0" applyNumberFormat="1" applyFont="1" applyFill="1" applyBorder="1" applyProtection="1">
      <alignment horizontal="center" vertical="center" wrapText="1"/>
    </xf>
    <xf numFmtId="0" fontId="14" fillId="4" borderId="8" xfId="0" applyFont="1" applyFill="1" applyBorder="1" applyProtection="1">
      <alignment horizontal="center" vertical="center" wrapText="1"/>
    </xf>
    <xf numFmtId="0" fontId="8" fillId="0" borderId="11" xfId="0" applyFont="1" applyBorder="1" applyProtection="1">
      <alignment horizontal="center" vertical="center"/>
    </xf>
    <xf numFmtId="0" fontId="8" fillId="6" borderId="11" xfId="0" applyFont="1" applyFill="1" applyBorder="1" applyProtection="1">
      <alignment horizontal="center" vertical="center"/>
    </xf>
    <xf numFmtId="0" fontId="5" fillId="0" borderId="11" xfId="0" applyFont="1" applyBorder="1" applyProtection="1">
      <alignment horizontal="general" vertical="center"/>
    </xf>
    <xf numFmtId="0" fontId="8" fillId="7" borderId="12" xfId="0" applyFont="1" applyFill="1" applyBorder="1" applyProtection="1">
      <alignment horizontal="left" vertical="center" wrapText="1"/>
    </xf>
    <xf numFmtId="0" fontId="16" fillId="8" borderId="13" xfId="0" applyFont="1" applyFill="1" applyBorder="1" applyProtection="1">
      <alignment horizontal="left" vertical="center" wrapText="1"/>
    </xf>
    <xf numFmtId="0" fontId="5" fillId="0" borderId="13" xfId="0" applyFont="1" applyBorder="1" applyProtection="1">
      <alignment horizontal="general" vertical="center"/>
    </xf>
    <xf numFmtId="0" fontId="8" fillId="7" borderId="14" xfId="0" applyFont="1" applyFill="1" applyBorder="1" applyProtection="1">
      <alignment horizontal="left" vertical="center"/>
    </xf>
    <xf numFmtId="0" fontId="17" fillId="7" borderId="14" xfId="0" applyFont="1" applyFill="1" applyBorder="1" applyProtection="1">
      <alignment horizontal="left" vertical="bottom" wrapText="1"/>
    </xf>
    <xf numFmtId="0" fontId="5" fillId="0" borderId="14" xfId="0" applyFont="1" applyBorder="1" applyProtection="1">
      <alignment horizontal="general" vertical="center"/>
    </xf>
    <xf numFmtId="0" fontId="8" fillId="7" borderId="14" xfId="0" applyFont="1" applyFill="1" applyBorder="1" applyProtection="1">
      <alignment horizontal="left" vertical="center" wrapText="1"/>
    </xf>
    <xf numFmtId="0" fontId="8" fillId="9" borderId="15" xfId="0" applyFont="1" applyFill="1" applyBorder="1" applyProtection="1">
      <alignment horizontal="center" vertical="center"/>
    </xf>
    <xf numFmtId="49" fontId="18" fillId="6" borderId="14" xfId="0" applyNumberFormat="1" applyFont="1" applyFill="1" applyBorder="1" applyProtection="1">
      <alignment horizontal="center" vertical="center" wrapText="1"/>
    </xf>
    <xf numFmtId="0" fontId="18" fillId="6" borderId="14" xfId="0" applyFont="1" applyFill="1" applyBorder="1" applyProtection="1">
      <alignment horizontal="center" vertical="center" wrapText="1"/>
    </xf>
    <xf numFmtId="0" fontId="18" fillId="6" borderId="14" xfId="0" applyFont="1" applyFill="1" applyBorder="1" applyProtection="1">
      <alignment horizontal="center" vertical="center"/>
    </xf>
    <xf numFmtId="0" fontId="18" fillId="7" borderId="14" xfId="0" applyFont="1" applyFill="1" applyBorder="1" applyProtection="1">
      <alignment horizontal="center" vertical="center" wrapText="1"/>
    </xf>
    <xf numFmtId="0" fontId="19" fillId="7" borderId="14" xfId="0" applyFont="1" applyFill="1" applyBorder="1" applyProtection="1">
      <alignment horizontal="right" vertical="bottom" wrapText="1"/>
    </xf>
    <xf numFmtId="0" fontId="18" fillId="7" borderId="15" xfId="0" applyFont="1" applyFill="1" applyBorder="1" applyProtection="1">
      <alignment horizontal="center" vertical="center" wrapText="1"/>
    </xf>
    <xf numFmtId="0" fontId="18" fillId="7" borderId="11" xfId="0" applyFont="1" applyFill="1" applyBorder="1" applyProtection="1">
      <alignment horizontal="center" vertical="center" wrapText="1"/>
    </xf>
    <xf numFmtId="0" fontId="5" fillId="0" borderId="16" xfId="0" applyFont="1" applyBorder="1" applyProtection="1">
      <alignment horizontal="general" vertical="center"/>
    </xf>
    <xf numFmtId="0" fontId="20" fillId="0" borderId="14" xfId="0" applyFont="1" applyBorder="1" applyProtection="1">
      <alignment horizontal="center" vertical="center"/>
    </xf>
    <xf numFmtId="49" fontId="21" fillId="0" borderId="14" xfId="0" applyNumberFormat="1" applyFont="1" applyBorder="1" applyProtection="1">
      <alignment horizontal="center" vertical="center" wrapText="1"/>
    </xf>
    <xf numFmtId="0" fontId="13" fillId="0" borderId="14" xfId="0" applyFont="1" applyBorder="1" applyProtection="1">
      <alignment horizontal="general" vertical="center"/>
    </xf>
    <xf numFmtId="0" fontId="21" fillId="0" borderId="14" xfId="0" applyFont="1" applyBorder="1" applyProtection="1">
      <alignment horizontal="center" vertical="center"/>
    </xf>
    <xf numFmtId="0" fontId="21" fillId="0" borderId="14" xfId="0" applyFont="1" applyBorder="1" applyProtection="1">
      <alignment horizontal="general" vertical="center" wrapText="1"/>
    </xf>
    <xf numFmtId="164" fontId="6" fillId="0" borderId="14" xfId="0" applyNumberFormat="1" applyFont="1" applyBorder="1" applyProtection="1">
      <alignment horizontal="center" vertical="center"/>
    </xf>
    <xf numFmtId="164" fontId="6" fillId="0" borderId="11" xfId="0" applyNumberFormat="1" applyFont="1" applyBorder="1" applyProtection="1">
      <alignment horizontal="center" vertical="center"/>
    </xf>
    <xf numFmtId="164" fontId="6" fillId="10" borderId="11" xfId="0" applyNumberFormat="1" applyFont="1" applyFill="1" applyBorder="1" applyProtection="1">
      <alignment horizontal="center" vertical="center"/>
    </xf>
    <xf numFmtId="164" fontId="6" fillId="11" borderId="11" xfId="0" applyNumberFormat="1" applyFont="1" applyFill="1" applyBorder="1" applyProtection="1">
      <alignment horizontal="center" vertical="center"/>
    </xf>
    <xf numFmtId="164" fontId="6" fillId="12" borderId="11" xfId="0" applyNumberFormat="1" applyFont="1" applyFill="1" applyBorder="1" applyProtection="1">
      <alignment horizontal="center" vertical="center"/>
    </xf>
    <xf numFmtId="164" fontId="6" fillId="12" borderId="12" xfId="0" applyNumberFormat="1" applyFont="1" applyFill="1" applyBorder="1" applyProtection="1">
      <alignment horizontal="center" vertical="center"/>
    </xf>
    <xf numFmtId="164" fontId="6" fillId="10" borderId="12" xfId="0" applyNumberFormat="1" applyFont="1" applyFill="1" applyBorder="1" applyProtection="1">
      <alignment horizontal="center" vertical="center"/>
    </xf>
    <xf numFmtId="164" fontId="6" fillId="10" borderId="14" xfId="0" applyNumberFormat="1" applyFont="1" applyFill="1" applyBorder="1" applyProtection="1">
      <alignment horizontal="center" vertical="center"/>
    </xf>
    <xf numFmtId="164" fontId="6" fillId="13" borderId="14" xfId="0" applyNumberFormat="1" applyFont="1" applyFill="1" applyBorder="1" applyProtection="1">
      <alignment horizontal="center" vertical="center"/>
    </xf>
    <xf numFmtId="164" fontId="6" fillId="13" borderId="16" xfId="0" applyNumberFormat="1" applyFont="1" applyFill="1" applyBorder="1" applyProtection="1">
      <alignment horizontal="center" vertical="center"/>
    </xf>
    <xf numFmtId="0" fontId="6" fillId="9" borderId="16" xfId="0" applyFont="1" applyFill="1" applyBorder="1" applyProtection="1">
      <alignment horizontal="left" vertical="top" wrapText="1"/>
    </xf>
    <xf numFmtId="49" fontId="21" fillId="0" borderId="14" xfId="0" applyNumberFormat="1" applyFont="1" applyBorder="1" applyProtection="1">
      <alignment horizontal="general" vertical="center"/>
    </xf>
    <xf numFmtId="0" fontId="21" fillId="0" borderId="14" xfId="0" applyFont="1" applyBorder="1" applyProtection="1">
      <alignment horizontal="general" vertical="center"/>
    </xf>
    <xf numFmtId="164" fontId="6" fillId="11" borderId="14" xfId="0" applyNumberFormat="1" applyFont="1" applyFill="1" applyBorder="1" applyProtection="1">
      <alignment horizontal="center" vertical="center"/>
    </xf>
    <xf numFmtId="164" fontId="6" fillId="12" borderId="14" xfId="0" applyNumberFormat="1" applyFont="1" applyFill="1" applyBorder="1" applyProtection="1">
      <alignment horizontal="center" vertical="center"/>
    </xf>
    <xf numFmtId="164" fontId="6" fillId="10" borderId="17" xfId="0" applyNumberFormat="1" applyFont="1" applyFill="1" applyBorder="1" applyProtection="1">
      <alignment horizontal="center" vertical="center"/>
    </xf>
    <xf numFmtId="0" fontId="22" fillId="0" borderId="14" xfId="0" applyFont="1" applyBorder="1" applyProtection="1">
      <alignment horizontal="general" vertical="center" wrapText="1"/>
    </xf>
    <xf numFmtId="0" fontId="6" fillId="0" borderId="0" xfId="0" applyFont="1">
      <alignment horizontal="general" vertical="bottom"/>
    </xf>
    <xf numFmtId="0" fontId="7" fillId="0" borderId="0" xfId="0" applyFont="1">
      <alignment horizontal="general" vertical="bottom"/>
    </xf>
    <xf numFmtId="0" fontId="22" fillId="0" borderId="0" xfId="0" applyFont="1">
      <alignment horizontal="general" vertical="center"/>
    </xf>
    <xf numFmtId="0" fontId="6" fillId="0" borderId="14" xfId="0" applyFont="1" applyBorder="1" applyProtection="1">
      <alignment horizontal="general" vertical="top" wrapText="1"/>
    </xf>
    <xf numFmtId="0" fontId="23" fillId="0" borderId="0" xfId="0" applyFont="1">
      <alignment horizontal="general" vertical="center"/>
    </xf>
    <xf numFmtId="0" fontId="24" fillId="0" borderId="0" xfId="0" applyFont="1">
      <alignment horizontal="general" vertical="center"/>
    </xf>
    <xf numFmtId="0" fontId="6" fillId="0" borderId="0" xfId="0" applyFont="1">
      <alignment horizontal="left" vertical="center"/>
    </xf>
    <xf numFmtId="0" fontId="8" fillId="2" borderId="0" xfId="0" applyFont="1" applyFill="1">
      <alignment horizontal="center" vertical="center"/>
    </xf>
    <xf numFmtId="0" fontId="8" fillId="2" borderId="0" xfId="0" applyFont="1" applyFill="1">
      <alignment horizontal="left" vertical="center"/>
    </xf>
    <xf numFmtId="0" fontId="8" fillId="2" borderId="0" xfId="0" applyFont="1" applyFill="1">
      <alignment horizontal="general" vertical="center" wrapText="1"/>
    </xf>
    <xf numFmtId="0" fontId="14" fillId="4" borderId="8" xfId="0" applyFont="1" applyFill="1" applyBorder="1" applyProtection="1">
      <alignment horizontal="right" vertical="center"/>
    </xf>
    <xf numFmtId="0" fontId="5" fillId="0" borderId="8" xfId="0" applyFont="1" applyBorder="1" applyProtection="1">
      <alignment horizontal="center" vertical="center"/>
    </xf>
    <xf numFmtId="3" fontId="15" fillId="5" borderId="8" xfId="0" applyNumberFormat="1" applyFont="1" applyFill="1" applyBorder="1" applyProtection="1">
      <alignment horizontal="left" vertical="center"/>
    </xf>
    <xf numFmtId="164" fontId="14" fillId="4" borderId="8" xfId="0" applyNumberFormat="1" applyFont="1" applyFill="1" applyBorder="1" applyProtection="1">
      <alignment horizontal="center" vertical="bottom" wrapText="1"/>
    </xf>
    <xf numFmtId="165" fontId="14" fillId="4" borderId="10" xfId="0" applyNumberFormat="1" applyFont="1" applyFill="1" applyBorder="1" applyProtection="1">
      <alignment horizontal="center" vertical="center" wrapText="1"/>
    </xf>
    <xf numFmtId="0" fontId="14" fillId="4" borderId="10" xfId="0" applyFont="1" applyFill="1" applyBorder="1" applyProtection="1">
      <alignment horizontal="center" vertical="center" wrapText="1"/>
    </xf>
    <xf numFmtId="0" fontId="5" fillId="0" borderId="11" xfId="0" applyFont="1" applyBorder="1" applyProtection="1">
      <alignment horizontal="center" vertical="center"/>
    </xf>
    <xf numFmtId="0" fontId="5" fillId="0" borderId="11" xfId="0" applyFont="1" applyBorder="1" applyProtection="1">
      <alignment horizontal="left" vertical="center"/>
    </xf>
    <xf numFmtId="0" fontId="8" fillId="14" borderId="11" xfId="0" applyFont="1" applyFill="1" applyBorder="1" applyProtection="1">
      <alignment horizontal="center" vertical="center" wrapText="1"/>
    </xf>
    <xf numFmtId="0" fontId="8" fillId="8" borderId="12" xfId="0" applyFont="1" applyFill="1" applyBorder="1" applyProtection="1">
      <alignment horizontal="left" vertical="center" wrapText="1"/>
    </xf>
    <xf numFmtId="0" fontId="5" fillId="0" borderId="15" xfId="0" applyFont="1" applyBorder="1" applyProtection="1">
      <alignment horizontal="general" vertical="center"/>
    </xf>
    <xf numFmtId="0" fontId="17" fillId="8" borderId="14" xfId="0" applyFont="1" applyFill="1" applyBorder="1" applyProtection="1">
      <alignment horizontal="left" vertical="bottom" wrapText="1"/>
    </xf>
    <xf numFmtId="0" fontId="17" fillId="8" borderId="11" xfId="0" applyFont="1" applyFill="1" applyBorder="1" applyProtection="1">
      <alignment horizontal="left" vertical="bottom" wrapText="1"/>
    </xf>
    <xf numFmtId="0" fontId="25" fillId="8" borderId="11" xfId="0" applyFont="1" applyFill="1" applyBorder="1" applyProtection="1">
      <alignment horizontal="left" vertical="bottom" wrapText="1"/>
    </xf>
    <xf numFmtId="0" fontId="17" fillId="8" borderId="11" xfId="0" applyFont="1" applyFill="1" applyBorder="1" applyProtection="1">
      <alignment horizontal="left" vertical="bottom"/>
    </xf>
    <xf numFmtId="0" fontId="25" fillId="8" borderId="11" xfId="0" applyFont="1" applyFill="1" applyBorder="1" applyProtection="1">
      <alignment horizontal="left" vertical="bottom"/>
    </xf>
    <xf numFmtId="0" fontId="5" fillId="0" borderId="12" xfId="0" applyFont="1" applyBorder="1" applyProtection="1">
      <alignment horizontal="general" vertical="center"/>
    </xf>
    <xf numFmtId="0" fontId="5" fillId="0" borderId="17" xfId="0" applyFont="1" applyBorder="1" applyProtection="1">
      <alignment horizontal="general" vertical="center"/>
    </xf>
    <xf numFmtId="0" fontId="8" fillId="8" borderId="14" xfId="0" applyFont="1" applyFill="1" applyBorder="1" applyProtection="1">
      <alignment horizontal="left" vertical="center"/>
    </xf>
    <xf numFmtId="0" fontId="26" fillId="8" borderId="14" xfId="0" applyFont="1" applyFill="1" applyBorder="1" applyProtection="1">
      <alignment horizontal="center" vertical="center" wrapText="1"/>
    </xf>
    <xf numFmtId="0" fontId="8" fillId="6" borderId="14" xfId="0" applyFont="1" applyFill="1" applyBorder="1" applyProtection="1">
      <alignment horizontal="center" vertical="center" wrapText="1"/>
    </xf>
    <xf numFmtId="0" fontId="18" fillId="14" borderId="14" xfId="0" applyFont="1" applyFill="1" applyBorder="1" applyProtection="1">
      <alignment horizontal="center" vertical="center" wrapText="1"/>
    </xf>
    <xf numFmtId="0" fontId="18" fillId="8" borderId="14" xfId="0" applyFont="1" applyFill="1" applyBorder="1" applyProtection="1">
      <alignment horizontal="center" vertical="center" wrapText="1"/>
    </xf>
    <xf numFmtId="0" fontId="27" fillId="8" borderId="11" xfId="0" applyFont="1" applyFill="1" applyBorder="1" applyProtection="1">
      <alignment horizontal="right" vertical="bottom" wrapText="1"/>
    </xf>
    <xf numFmtId="0" fontId="27" fillId="8" borderId="14" xfId="0" applyFont="1" applyFill="1" applyBorder="1" applyProtection="1">
      <alignment horizontal="right" vertical="bottom" wrapText="1"/>
    </xf>
    <xf numFmtId="0" fontId="27" fillId="8" borderId="17" xfId="0" applyFont="1" applyFill="1" applyBorder="1" applyProtection="1">
      <alignment horizontal="right" vertical="bottom" wrapText="1"/>
    </xf>
    <xf numFmtId="0" fontId="27" fillId="8" borderId="12" xfId="0" applyFont="1" applyFill="1" applyBorder="1" applyProtection="1">
      <alignment horizontal="right" vertical="bottom" wrapText="1"/>
    </xf>
    <xf numFmtId="0" fontId="27" fillId="8" borderId="18" xfId="0" applyFont="1" applyFill="1" applyBorder="1" applyProtection="1">
      <alignment horizontal="right" vertical="bottom" wrapText="1"/>
    </xf>
    <xf numFmtId="0" fontId="27" fillId="8" borderId="19" xfId="0" applyFont="1" applyFill="1" applyBorder="1" applyProtection="1">
      <alignment horizontal="right" vertical="bottom" wrapText="1"/>
    </xf>
    <xf numFmtId="0" fontId="27" fillId="7" borderId="14" xfId="0" applyFont="1" applyFill="1" applyBorder="1" applyProtection="1">
      <alignment horizontal="right" vertical="bottom" wrapText="1"/>
    </xf>
    <xf numFmtId="0" fontId="24" fillId="7" borderId="11" xfId="0" applyFont="1" applyFill="1" applyBorder="1" applyProtection="1">
      <alignment horizontal="center" vertical="center" wrapText="1"/>
    </xf>
    <xf numFmtId="0" fontId="18" fillId="6" borderId="11" xfId="0" applyFont="1" applyFill="1" applyBorder="1" applyProtection="1">
      <alignment horizontal="center" vertical="center" wrapText="1"/>
    </xf>
    <xf numFmtId="0" fontId="18" fillId="6" borderId="11" xfId="0" applyFont="1" applyFill="1" applyBorder="1" applyProtection="1">
      <alignment horizontal="center" vertical="center"/>
    </xf>
    <xf numFmtId="49" fontId="6" fillId="0" borderId="20" xfId="0" applyNumberFormat="1" applyFont="1" applyBorder="1" applyProtection="1">
      <alignment horizontal="center" vertical="center" wrapText="1"/>
    </xf>
    <xf numFmtId="0" fontId="13" fillId="0" borderId="14" xfId="0" applyFont="1" applyBorder="1" applyProtection="1">
      <alignment horizontal="center" vertical="center"/>
    </xf>
    <xf numFmtId="0" fontId="6" fillId="0" borderId="20" xfId="0" applyFont="1" applyBorder="1" applyProtection="1">
      <alignment horizontal="center" vertical="center"/>
    </xf>
    <xf numFmtId="0" fontId="6" fillId="0" borderId="14" xfId="0" applyFont="1" applyBorder="1" applyProtection="1">
      <alignment horizontal="center" vertical="center" wrapText="1"/>
    </xf>
    <xf numFmtId="0" fontId="6" fillId="0" borderId="14" xfId="0" applyFont="1" applyBorder="1" applyProtection="1">
      <alignment horizontal="left" vertical="center" wrapText="1"/>
    </xf>
    <xf numFmtId="0" fontId="6" fillId="0" borderId="14" xfId="0" applyFont="1" applyBorder="1" applyProtection="1">
      <alignment horizontal="center" vertical="center"/>
    </xf>
    <xf numFmtId="164" fontId="20" fillId="0" borderId="14" xfId="0" applyNumberFormat="1" applyFont="1" applyBorder="1" applyProtection="1">
      <alignment horizontal="center" vertical="center"/>
    </xf>
    <xf numFmtId="164" fontId="6" fillId="15" borderId="14" xfId="0" applyNumberFormat="1" applyFont="1" applyFill="1" applyBorder="1" applyProtection="1">
      <alignment horizontal="center" vertical="center"/>
    </xf>
    <xf numFmtId="164" fontId="6" fillId="16" borderId="14" xfId="0" applyNumberFormat="1" applyFont="1" applyFill="1" applyBorder="1" applyProtection="1">
      <alignment horizontal="center" vertical="center"/>
    </xf>
    <xf numFmtId="164" fontId="6" fillId="17" borderId="14" xfId="0" applyNumberFormat="1" applyFont="1" applyFill="1" applyBorder="1" applyProtection="1">
      <alignment horizontal="center" vertical="center"/>
    </xf>
    <xf numFmtId="164" fontId="6" fillId="11" borderId="17" xfId="0" applyNumberFormat="1" applyFont="1" applyFill="1" applyBorder="1" applyProtection="1">
      <alignment horizontal="center" vertical="center"/>
    </xf>
    <xf numFmtId="164" fontId="6" fillId="12" borderId="17" xfId="0" applyNumberFormat="1" applyFont="1" applyFill="1" applyBorder="1" applyProtection="1">
      <alignment horizontal="center" vertical="center"/>
    </xf>
    <xf numFmtId="164" fontId="6" fillId="0" borderId="15" xfId="0" applyNumberFormat="1" applyFont="1" applyBorder="1" applyProtection="1">
      <alignment horizontal="center" vertical="center"/>
    </xf>
    <xf numFmtId="164" fontId="6" fillId="13" borderId="11" xfId="0" applyNumberFormat="1" applyFont="1" applyFill="1" applyBorder="1" applyProtection="1">
      <alignment horizontal="center" vertical="center"/>
    </xf>
    <xf numFmtId="0" fontId="6" fillId="0" borderId="11" xfId="0" applyFont="1" applyBorder="1" applyProtection="1">
      <alignment horizontal="center" vertical="center" wrapText="1"/>
    </xf>
    <xf numFmtId="164" fontId="20" fillId="0" borderId="14" xfId="0" applyNumberFormat="1" applyFont="1" applyBorder="1" applyProtection="1">
      <alignment horizontal="left" vertical="center"/>
    </xf>
    <xf numFmtId="164" fontId="20" fillId="0" borderId="14" xfId="0" applyNumberFormat="1" applyFont="1" applyBorder="1" applyProtection="1">
      <alignment horizontal="center" vertical="center" wrapText="1"/>
    </xf>
    <xf numFmtId="0" fontId="6" fillId="0" borderId="14" xfId="0" applyFont="1" applyBorder="1" applyProtection="1">
      <alignment horizontal="left" vertical="top" wrapText="1"/>
    </xf>
    <xf numFmtId="49" fontId="6" fillId="0" borderId="18" xfId="0" applyNumberFormat="1" applyFont="1" applyBorder="1" applyProtection="1">
      <alignment horizontal="center" vertical="center" wrapText="1"/>
    </xf>
    <xf numFmtId="0" fontId="6" fillId="0" borderId="18" xfId="0" applyFont="1" applyBorder="1" applyProtection="1">
      <alignment horizontal="center" vertical="center"/>
    </xf>
    <xf numFmtId="0" fontId="20" fillId="0" borderId="14" xfId="0" applyFont="1" applyBorder="1" applyProtection="1">
      <alignment horizontal="general" vertical="center"/>
    </xf>
    <xf numFmtId="0" fontId="6" fillId="0" borderId="11" xfId="0" applyFont="1" applyBorder="1" applyProtection="1">
      <alignment horizontal="center" vertical="center"/>
    </xf>
    <xf numFmtId="0" fontId="6" fillId="0" borderId="17" xfId="0" applyFont="1" applyBorder="1" applyProtection="1">
      <alignment horizontal="left" vertical="center" wrapText="1"/>
    </xf>
    <xf numFmtId="0" fontId="20" fillId="0" borderId="14" xfId="0" applyFont="1" applyBorder="1" applyProtection="1">
      <alignment horizontal="general" vertical="bottom"/>
    </xf>
    <xf numFmtId="49" fontId="6" fillId="0" borderId="11" xfId="0" applyNumberFormat="1" applyFont="1" applyBorder="1" applyProtection="1">
      <alignment horizontal="center" vertical="center" wrapText="1"/>
    </xf>
    <xf numFmtId="49" fontId="21" fillId="0" borderId="14" xfId="0" applyNumberFormat="1" applyFont="1" applyBorder="1" applyProtection="1">
      <alignment horizontal="general" vertical="bottom"/>
    </xf>
    <xf numFmtId="0" fontId="7" fillId="0" borderId="0" xfId="0" applyFont="1">
      <alignment horizontal="center" vertical="bottom"/>
    </xf>
    <xf numFmtId="0" fontId="6" fillId="0" borderId="0" xfId="0" applyFont="1">
      <alignment horizontal="center" vertical="bottom"/>
    </xf>
    <xf numFmtId="0" fontId="6" fillId="0" borderId="0" xfId="0" applyFont="1">
      <alignment horizontal="left" vertical="bottom"/>
    </xf>
    <xf numFmtId="0" fontId="6" fillId="0" borderId="14" xfId="0" applyFont="1" applyBorder="1" applyProtection="1">
      <alignment horizontal="center" vertical="top" wrapText="1"/>
    </xf>
    <xf numFmtId="0" fontId="22" fillId="0" borderId="0" xfId="0" applyFont="1">
      <alignment horizontal="general" vertical="top" wrapText="1"/>
    </xf>
    <xf numFmtId="0" fontId="7" fillId="0" borderId="0" xfId="0" applyFont="1">
      <alignment horizontal="center" vertical="center"/>
    </xf>
    <xf numFmtId="0" fontId="28" fillId="0" borderId="0" xfId="0" applyFont="1">
      <alignment horizontal="general" vertical="center"/>
    </xf>
    <xf numFmtId="0" fontId="29" fillId="0" borderId="0" xfId="0" applyFont="1">
      <alignment horizontal="left" vertical="center"/>
    </xf>
    <xf numFmtId="0" fontId="29" fillId="0" borderId="0" xfId="0" applyFont="1">
      <alignment horizontal="left" vertical="center" wrapText="1"/>
    </xf>
    <xf numFmtId="0" fontId="11" fillId="0" borderId="0" xfId="0" applyFont="1">
      <alignment horizontal="left" vertical="center"/>
    </xf>
    <xf numFmtId="0" fontId="11" fillId="0" borderId="0" xfId="0" applyFont="1">
      <alignment horizontal="center" vertical="center"/>
    </xf>
    <xf numFmtId="0" fontId="11" fillId="18" borderId="14" xfId="0" applyFont="1" applyFill="1" applyBorder="1" applyProtection="1">
      <alignment horizontal="left" vertical="center"/>
    </xf>
    <xf numFmtId="0" fontId="9" fillId="19" borderId="14" xfId="0" applyFont="1" applyFill="1" applyBorder="1" applyProtection="1">
      <alignment horizontal="center" vertical="center"/>
    </xf>
    <xf numFmtId="0" fontId="30" fillId="19" borderId="14" xfId="0" applyFont="1" applyFill="1" applyBorder="1" applyProtection="1">
      <alignment horizontal="center" vertical="center"/>
    </xf>
    <xf numFmtId="0" fontId="30" fillId="19" borderId="14" xfId="0" applyFont="1" applyFill="1" applyBorder="1" applyProtection="1">
      <alignment horizontal="center" vertical="center" wrapText="1"/>
    </xf>
    <xf numFmtId="0" fontId="31" fillId="0" borderId="14" xfId="0" applyFont="1" applyBorder="1" applyProtection="1">
      <alignment horizontal="center" vertical="center"/>
    </xf>
    <xf numFmtId="0" fontId="32" fillId="0" borderId="14" xfId="0" applyFont="1" applyBorder="1" applyProtection="1">
      <alignment horizontal="center" vertical="center" wrapText="1"/>
    </xf>
    <xf numFmtId="0" fontId="32" fillId="0" borderId="14" xfId="0" applyFont="1" applyBorder="1" applyProtection="1">
      <alignment horizontal="center" vertical="center"/>
    </xf>
    <xf numFmtId="49" fontId="32" fillId="0" borderId="14" xfId="0" applyNumberFormat="1" applyFont="1" applyBorder="1" applyProtection="1">
      <alignment horizontal="center" vertical="center" wrapText="1"/>
    </xf>
    <xf numFmtId="0" fontId="32" fillId="0" borderId="14" xfId="0" applyFont="1" applyBorder="1" applyProtection="1">
      <alignment horizontal="general" vertical="center" wrapText="1"/>
    </xf>
    <xf numFmtId="166" fontId="13" fillId="0" borderId="14" xfId="0" applyNumberFormat="1" applyFont="1" applyBorder="1" applyProtection="1">
      <alignment horizontal="center" vertical="center"/>
    </xf>
    <xf numFmtId="10" fontId="13" fillId="0" borderId="14" xfId="0" applyNumberFormat="1" applyFont="1" applyBorder="1" applyProtection="1">
      <alignment horizontal="center" vertical="center"/>
    </xf>
    <xf numFmtId="166" fontId="33" fillId="0" borderId="14" xfId="0" applyNumberFormat="1" applyFont="1" applyBorder="1" applyProtection="1">
      <alignment horizontal="general" vertical="center"/>
    </xf>
    <xf numFmtId="166" fontId="13" fillId="0" borderId="14" xfId="0" applyNumberFormat="1" applyFont="1" applyBorder="1" applyProtection="1">
      <alignment horizontal="general" vertical="center"/>
    </xf>
    <xf numFmtId="0" fontId="34" fillId="20" borderId="14" xfId="0" applyFont="1" applyFill="1" applyBorder="1" applyProtection="1">
      <alignment horizontal="center" vertical="center"/>
    </xf>
    <xf numFmtId="0" fontId="34" fillId="20" borderId="14" xfId="0" applyFont="1" applyFill="1" applyBorder="1" applyProtection="1">
      <alignment horizontal="center" vertical="center" wrapText="1"/>
    </xf>
    <xf numFmtId="0" fontId="6" fillId="0" borderId="14" xfId="0" applyFont="1" applyBorder="1" applyProtection="1">
      <alignment horizontal="general" vertical="center"/>
    </xf>
    <xf numFmtId="166" fontId="6" fillId="0" borderId="14" xfId="0" applyNumberFormat="1" applyFont="1" applyBorder="1" applyProtection="1">
      <alignment horizontal="center" vertical="center"/>
    </xf>
    <xf numFmtId="166" fontId="6" fillId="0" borderId="14" xfId="0" applyNumberFormat="1" applyFont="1" applyBorder="1" applyProtection="1">
      <alignment horizontal="general" vertical="center"/>
    </xf>
    <xf numFmtId="10" fontId="6" fillId="0" borderId="14" xfId="0" applyNumberFormat="1" applyFont="1" applyBorder="1" applyProtection="1">
      <alignment horizontal="center" vertical="center"/>
    </xf>
    <xf numFmtId="0" fontId="35" fillId="0" borderId="0" xfId="0" applyFont="1">
      <alignment horizontal="general" vertical="center"/>
    </xf>
    <xf numFmtId="0" fontId="36" fillId="21" borderId="14" xfId="0" applyFont="1" applyFill="1" applyBorder="1" applyProtection="1">
      <alignment horizontal="center" vertical="center"/>
    </xf>
    <xf numFmtId="49" fontId="6" fillId="0" borderId="14" xfId="0" applyNumberFormat="1" applyFont="1" applyBorder="1" applyProtection="1">
      <alignment horizontal="center" vertical="center"/>
    </xf>
    <xf numFmtId="166" fontId="21" fillId="0" borderId="14" xfId="0" applyNumberFormat="1" applyFont="1" applyBorder="1" applyProtection="1">
      <alignment horizontal="general" vertical="center"/>
    </xf>
    <xf numFmtId="167" fontId="12" fillId="0" borderId="0" xfId="0" applyNumberFormat="1" applyFont="1">
      <alignment horizontal="center" vertical="bottom"/>
    </xf>
    <xf numFmtId="0" fontId="12" fillId="0" borderId="0" xfId="0" applyFont="1">
      <alignment horizontal="general" vertical="bottom" wrapText="1"/>
    </xf>
    <xf numFmtId="0" fontId="37" fillId="0" borderId="0" xfId="0" applyFont="1">
      <alignment horizontal="center" vertical="bottom" wrapText="1"/>
    </xf>
    <xf numFmtId="0" fontId="37" fillId="0" borderId="0" xfId="0" applyFont="1">
      <alignment horizontal="center" vertical="bottom"/>
    </xf>
    <xf numFmtId="0" fontId="10" fillId="3" borderId="21" xfId="0" applyFont="1" applyFill="1" applyBorder="1" applyProtection="1">
      <alignment horizontal="center" vertical="center" wrapText="1"/>
    </xf>
    <xf numFmtId="0" fontId="5" fillId="0" borderId="22" xfId="0" applyFont="1" applyBorder="1" applyProtection="1">
      <alignment horizontal="general" vertical="center"/>
    </xf>
    <xf numFmtId="0" fontId="5" fillId="0" borderId="23" xfId="0" applyFont="1" applyBorder="1" applyProtection="1">
      <alignment horizontal="general" vertical="center"/>
    </xf>
    <xf numFmtId="0" fontId="9" fillId="3" borderId="24" xfId="0" applyFont="1" applyFill="1" applyBorder="1" applyProtection="1">
      <alignment horizontal="center" vertical="center" wrapText="1"/>
    </xf>
    <xf numFmtId="0" fontId="38" fillId="18" borderId="25" xfId="0" applyFont="1" applyFill="1" applyBorder="1" applyProtection="1">
      <alignment horizontal="center" vertical="center" wrapText="1"/>
    </xf>
    <xf numFmtId="0" fontId="9" fillId="3" borderId="25" xfId="0" applyFont="1" applyFill="1" applyBorder="1" applyProtection="1">
      <alignment horizontal="center" vertical="center" wrapText="1"/>
    </xf>
    <xf numFmtId="0" fontId="38" fillId="18" borderId="26" xfId="0" applyFont="1" applyFill="1" applyBorder="1" applyProtection="1">
      <alignment horizontal="center" vertical="center" wrapText="1"/>
    </xf>
    <xf numFmtId="0" fontId="13" fillId="18" borderId="25" xfId="0" applyFont="1" applyFill="1" applyBorder="1" applyProtection="1">
      <alignment horizontal="center" vertical="center"/>
    </xf>
    <xf numFmtId="168" fontId="38" fillId="18" borderId="25" xfId="0" applyNumberFormat="1" applyFont="1" applyFill="1" applyBorder="1" applyProtection="1">
      <alignment horizontal="center" vertical="center" wrapText="1"/>
    </xf>
    <xf numFmtId="168" fontId="13" fillId="18" borderId="25" xfId="0" applyNumberFormat="1" applyFont="1" applyFill="1" applyBorder="1" applyProtection="1">
      <alignment horizontal="center" vertical="center"/>
    </xf>
    <xf numFmtId="0" fontId="38" fillId="18" borderId="26" xfId="0" applyFont="1" applyFill="1" applyBorder="1" applyProtection="1">
      <alignment horizontal="center" vertical="center"/>
    </xf>
    <xf numFmtId="0" fontId="9" fillId="3" borderId="25" xfId="0" applyFont="1" applyFill="1" applyBorder="1" applyProtection="1">
      <alignment horizontal="center" vertical="center"/>
    </xf>
    <xf numFmtId="0" fontId="5" fillId="0" borderId="25" xfId="0" applyFont="1" applyBorder="1" applyProtection="1">
      <alignment horizontal="general" vertical="center"/>
    </xf>
    <xf numFmtId="0" fontId="9" fillId="3" borderId="27" xfId="0" applyFont="1" applyFill="1" applyBorder="1" applyProtection="1">
      <alignment horizontal="center" vertical="center" wrapText="1"/>
    </xf>
    <xf numFmtId="0" fontId="9" fillId="3" borderId="26" xfId="0" applyFont="1" applyFill="1" applyBorder="1" applyProtection="1">
      <alignment horizontal="center" vertical="center" wrapText="1"/>
    </xf>
    <xf numFmtId="0" fontId="5" fillId="0" borderId="24" xfId="0" applyFont="1" applyBorder="1" applyProtection="1">
      <alignment horizontal="general" vertical="center"/>
    </xf>
    <xf numFmtId="167" fontId="11" fillId="0" borderId="25" xfId="0" applyNumberFormat="1" applyFont="1" applyBorder="1" applyProtection="1">
      <alignment horizontal="center" vertical="center" wrapText="1"/>
    </xf>
    <xf numFmtId="3" fontId="5" fillId="0" borderId="25" xfId="0" applyNumberFormat="1" applyFont="1" applyBorder="1" applyProtection="1">
      <alignment horizontal="general" vertical="center"/>
    </xf>
    <xf numFmtId="167" fontId="11" fillId="0" borderId="27" xfId="0" applyNumberFormat="1" applyFont="1" applyBorder="1" applyProtection="1">
      <alignment horizontal="center" vertical="center" wrapText="1"/>
    </xf>
    <xf numFmtId="3" fontId="11" fillId="0" borderId="26" xfId="0" applyNumberFormat="1" applyFont="1" applyBorder="1" applyProtection="1">
      <alignment horizontal="center" vertical="center" wrapText="1"/>
    </xf>
    <xf numFmtId="10" fontId="11" fillId="0" borderId="25" xfId="0" applyNumberFormat="1" applyFont="1" applyBorder="1" applyProtection="1">
      <alignment horizontal="center" vertical="center" wrapText="1"/>
    </xf>
    <xf numFmtId="10" fontId="39" fillId="0" borderId="27" xfId="0" applyNumberFormat="1" applyFont="1" applyBorder="1" applyProtection="1">
      <alignment horizontal="center" vertical="center" wrapText="1"/>
    </xf>
    <xf numFmtId="10" fontId="11" fillId="0" borderId="27" xfId="0" applyNumberFormat="1" applyFont="1" applyBorder="1" applyProtection="1">
      <alignment horizontal="center" vertical="center" wrapText="1"/>
    </xf>
    <xf numFmtId="10" fontId="11" fillId="0" borderId="26" xfId="0" applyNumberFormat="1" applyFont="1" applyBorder="1" applyProtection="1">
      <alignment horizontal="center" vertical="center" wrapText="1"/>
    </xf>
    <xf numFmtId="0" fontId="11" fillId="12" borderId="24" xfId="0" applyFont="1" applyFill="1" applyBorder="1" applyProtection="1">
      <alignment horizontal="center" vertical="center" wrapText="1"/>
    </xf>
    <xf numFmtId="0" fontId="11" fillId="12" borderId="25" xfId="0" applyFont="1" applyFill="1" applyBorder="1" applyProtection="1">
      <alignment horizontal="center" vertical="center" wrapText="1"/>
    </xf>
    <xf numFmtId="0" fontId="11" fillId="17" borderId="25" xfId="0" applyFont="1" applyFill="1" applyBorder="1" applyProtection="1">
      <alignment horizontal="center" vertical="center" wrapText="1"/>
    </xf>
    <xf numFmtId="0" fontId="11" fillId="12" borderId="25" xfId="0" applyFont="1" applyFill="1" applyBorder="1" applyProtection="1">
      <alignment horizontal="center" vertical="center"/>
    </xf>
    <xf numFmtId="0" fontId="11" fillId="12" borderId="27" xfId="0" applyFont="1" applyFill="1" applyBorder="1" applyProtection="1">
      <alignment horizontal="center" vertical="center"/>
    </xf>
    <xf numFmtId="0" fontId="5" fillId="0" borderId="28" xfId="0" applyFont="1" applyBorder="1" applyProtection="1">
      <alignment horizontal="general" vertical="center"/>
    </xf>
    <xf numFmtId="0" fontId="11" fillId="0" borderId="29" xfId="0" applyFont="1" applyBorder="1" applyProtection="1">
      <alignment horizontal="center" vertical="center" wrapText="1"/>
    </xf>
    <xf numFmtId="0" fontId="11" fillId="0" borderId="25" xfId="0" applyFont="1" applyBorder="1" applyProtection="1">
      <alignment horizontal="center" vertical="center" wrapText="1"/>
    </xf>
    <xf numFmtId="0" fontId="13" fillId="0" borderId="25" xfId="0" applyFont="1" applyBorder="1" applyProtection="1">
      <alignment horizontal="left" vertical="center"/>
    </xf>
    <xf numFmtId="0" fontId="40" fillId="0" borderId="25" xfId="0" applyFont="1" applyBorder="1" applyProtection="1">
      <alignment horizontal="left" vertical="center" wrapText="1"/>
    </xf>
    <xf numFmtId="166" fontId="41" fillId="0" borderId="25" xfId="0" applyNumberFormat="1" applyFont="1" applyBorder="1" applyProtection="1">
      <alignment horizontal="right" vertical="center" wrapText="1"/>
    </xf>
    <xf numFmtId="9" fontId="42" fillId="0" borderId="25" xfId="0" applyNumberFormat="1" applyFont="1" applyBorder="1" applyProtection="1">
      <alignment horizontal="center" vertical="center" wrapText="1"/>
    </xf>
    <xf numFmtId="0" fontId="13" fillId="0" borderId="27" xfId="0" applyFont="1" applyBorder="1" applyProtection="1">
      <alignment horizontal="left" vertical="center" wrapText="1"/>
    </xf>
    <xf numFmtId="0" fontId="11" fillId="0" borderId="30" xfId="0" applyFont="1" applyBorder="1" applyProtection="1">
      <alignment horizontal="center" vertical="center" wrapText="1"/>
    </xf>
    <xf numFmtId="0" fontId="11" fillId="22" borderId="25" xfId="0" applyFont="1" applyFill="1" applyBorder="1" applyProtection="1">
      <alignment horizontal="center" vertical="center" wrapText="1"/>
    </xf>
    <xf numFmtId="0" fontId="5" fillId="22" borderId="25" xfId="0" applyFont="1" applyFill="1" applyBorder="1" applyProtection="1">
      <alignment horizontal="general" vertical="center"/>
    </xf>
    <xf numFmtId="0" fontId="13" fillId="22" borderId="25" xfId="0" applyFont="1" applyFill="1" applyBorder="1" applyProtection="1">
      <alignment horizontal="left" vertical="center"/>
    </xf>
    <xf numFmtId="0" fontId="40" fillId="22" borderId="25" xfId="0" applyFont="1" applyFill="1" applyBorder="1" applyProtection="1">
      <alignment horizontal="left" vertical="center" wrapText="1"/>
    </xf>
    <xf numFmtId="166" fontId="41" fillId="22" borderId="25" xfId="0" applyNumberFormat="1" applyFont="1" applyFill="1" applyBorder="1" applyProtection="1">
      <alignment horizontal="right" vertical="center" wrapText="1"/>
    </xf>
    <xf numFmtId="9" fontId="42" fillId="22" borderId="25" xfId="0" applyNumberFormat="1" applyFont="1" applyFill="1" applyBorder="1" applyProtection="1">
      <alignment horizontal="center" vertical="center" wrapText="1"/>
    </xf>
    <xf numFmtId="0" fontId="42" fillId="22" borderId="27" xfId="0" applyFont="1" applyFill="1" applyBorder="1" applyProtection="1">
      <alignment horizontal="left" vertical="center" wrapText="1"/>
    </xf>
    <xf numFmtId="0" fontId="5" fillId="22" borderId="28" xfId="0" applyFont="1" applyFill="1" applyBorder="1" applyProtection="1">
      <alignment horizontal="general" vertical="center"/>
    </xf>
    <xf numFmtId="0" fontId="11" fillId="0" borderId="31" xfId="0" applyFont="1" applyBorder="1" applyProtection="1">
      <alignment horizontal="center" vertical="center" wrapText="1"/>
    </xf>
    <xf numFmtId="0" fontId="13" fillId="22" borderId="27" xfId="0" applyFont="1" applyFill="1" applyBorder="1" applyProtection="1">
      <alignment horizontal="left" vertical="center" wrapText="1"/>
    </xf>
    <xf numFmtId="0" fontId="11" fillId="0" borderId="24" xfId="0" applyFont="1" applyBorder="1" applyProtection="1">
      <alignment horizontal="center" vertical="center" wrapText="1"/>
    </xf>
    <xf numFmtId="0" fontId="13" fillId="0" borderId="25" xfId="0" applyFont="1" applyBorder="1" applyProtection="1">
      <alignment horizontal="left" vertical="center" wrapText="1"/>
    </xf>
    <xf numFmtId="0" fontId="13" fillId="0" borderId="28" xfId="0" applyFont="1" applyBorder="1" applyProtection="1">
      <alignment horizontal="general" vertical="center" wrapText="1"/>
    </xf>
    <xf numFmtId="0" fontId="13" fillId="0" borderId="27" xfId="0" applyFont="1" applyBorder="1" applyProtection="1">
      <alignment horizontal="general" vertical="center"/>
    </xf>
    <xf numFmtId="0" fontId="40" fillId="0" borderId="25" xfId="0" applyFont="1" applyBorder="1" applyProtection="1">
      <alignment horizontal="general" vertical="center" wrapText="1"/>
    </xf>
    <xf numFmtId="0" fontId="13" fillId="15" borderId="25" xfId="0" applyFont="1" applyFill="1" applyBorder="1" applyProtection="1">
      <alignment horizontal="left" vertical="center"/>
    </xf>
    <xf numFmtId="0" fontId="40" fillId="15" borderId="25" xfId="0" applyFont="1" applyFill="1" applyBorder="1" applyProtection="1">
      <alignment horizontal="left" vertical="center" wrapText="1"/>
    </xf>
    <xf numFmtId="166" fontId="41" fillId="15" borderId="25" xfId="0" applyNumberFormat="1" applyFont="1" applyFill="1" applyBorder="1" applyProtection="1">
      <alignment horizontal="right" vertical="center" wrapText="1"/>
    </xf>
    <xf numFmtId="9" fontId="42" fillId="15" borderId="25" xfId="0" applyNumberFormat="1" applyFont="1" applyFill="1" applyBorder="1" applyProtection="1">
      <alignment horizontal="center" vertical="center" wrapText="1"/>
    </xf>
    <xf numFmtId="0" fontId="13" fillId="15" borderId="27" xfId="0" applyFont="1" applyFill="1" applyBorder="1" applyProtection="1">
      <alignment horizontal="general" vertical="center" wrapText="1"/>
    </xf>
    <xf numFmtId="0" fontId="11" fillId="23" borderId="25" xfId="0" applyFont="1" applyFill="1" applyBorder="1" applyProtection="1">
      <alignment horizontal="center" vertical="center" wrapText="1"/>
    </xf>
    <xf numFmtId="0" fontId="11" fillId="0" borderId="32" xfId="0" applyFont="1" applyBorder="1" applyProtection="1">
      <alignment horizontal="center" vertical="center" wrapText="1"/>
    </xf>
    <xf numFmtId="0" fontId="11" fillId="0" borderId="33" xfId="0" applyFont="1" applyBorder="1" applyProtection="1">
      <alignment horizontal="center" vertical="center" wrapText="1"/>
    </xf>
    <xf numFmtId="0" fontId="5" fillId="0" borderId="34" xfId="0" applyFont="1" applyBorder="1" applyProtection="1">
      <alignment horizontal="general" vertical="center"/>
    </xf>
    <xf numFmtId="0" fontId="5" fillId="0" borderId="35" xfId="0" applyFont="1" applyBorder="1" applyProtection="1">
      <alignment horizontal="general" vertical="center"/>
    </xf>
    <xf numFmtId="0" fontId="43" fillId="0" borderId="33" xfId="0" applyFont="1" applyBorder="1" applyProtection="1">
      <alignment horizontal="center" vertical="center" wrapText="1"/>
    </xf>
    <xf numFmtId="0" fontId="43" fillId="0" borderId="34" xfId="0" applyFont="1" applyBorder="1" applyProtection="1">
      <alignment horizontal="general" vertical="center"/>
    </xf>
    <xf numFmtId="0" fontId="43" fillId="0" borderId="36" xfId="0" applyFont="1" applyBorder="1" applyProtection="1">
      <alignment horizontal="general" vertical="center"/>
    </xf>
    <xf numFmtId="0" fontId="12" fillId="0" borderId="37" xfId="0" applyFont="1" applyBorder="1" applyProtection="1">
      <alignment horizontal="left" vertical="center" wrapText="1"/>
    </xf>
    <xf numFmtId="0" fontId="5" fillId="0" borderId="36" xfId="0" applyFont="1" applyBorder="1" applyProtection="1">
      <alignment horizontal="general" vertical="center"/>
    </xf>
    <xf numFmtId="0" fontId="5" fillId="0" borderId="0" xfId="0" applyFont="1">
      <alignment horizontal="general" vertical="bottom"/>
    </xf>
    <xf numFmtId="0" fontId="44" fillId="24" borderId="38" xfId="0" applyFont="1" applyFill="1" applyBorder="1" applyProtection="1">
      <alignment horizontal="center" vertical="center"/>
    </xf>
    <xf numFmtId="0" fontId="44" fillId="24" borderId="39" xfId="0" applyFont="1" applyFill="1" applyBorder="1" applyProtection="1">
      <alignment horizontal="center" vertical="center"/>
    </xf>
    <xf numFmtId="0" fontId="44" fillId="24" borderId="40" xfId="0" applyFont="1" applyFill="1" applyBorder="1" applyProtection="1">
      <alignment horizontal="center" vertical="center"/>
    </xf>
    <xf numFmtId="0" fontId="5" fillId="0" borderId="19" xfId="0" applyFont="1" applyBorder="1" applyProtection="1">
      <alignment horizontal="general" vertical="bottom"/>
    </xf>
    <xf numFmtId="0" fontId="5" fillId="0" borderId="41" xfId="0" applyFont="1" applyBorder="1" applyProtection="1">
      <alignment horizontal="general" vertical="bottom"/>
    </xf>
    <xf numFmtId="0" fontId="10" fillId="25" borderId="42" xfId="0" applyFont="1" applyFill="1" applyBorder="1" applyProtection="1">
      <alignment horizontal="left" vertical="center" indent="1"/>
    </xf>
    <xf numFmtId="0" fontId="10" fillId="25" borderId="43" xfId="0" applyFont="1" applyFill="1" applyBorder="1" applyProtection="1">
      <alignment horizontal="left" vertical="center" indent="1"/>
    </xf>
    <xf numFmtId="0" fontId="10" fillId="25" borderId="44" xfId="0" applyFont="1" applyFill="1" applyBorder="1" applyProtection="1">
      <alignment horizontal="left" vertical="center" indent="1"/>
    </xf>
    <xf numFmtId="0" fontId="45" fillId="26" borderId="42" xfId="0" applyFont="1" applyFill="1" applyBorder="1" applyProtection="1">
      <alignment horizontal="right" vertical="center" indent="1"/>
    </xf>
    <xf numFmtId="0" fontId="45" fillId="26" borderId="43" xfId="0" applyFont="1" applyFill="1" applyBorder="1" applyProtection="1">
      <alignment horizontal="right" vertical="center" indent="1"/>
    </xf>
    <xf numFmtId="0" fontId="13" fillId="2" borderId="43" xfId="0" applyFont="1" applyFill="1" applyBorder="1" applyProtection="1">
      <alignment horizontal="left" vertical="center" indent="1"/>
    </xf>
    <xf numFmtId="0" fontId="13" fillId="2" borderId="44" xfId="0" applyFont="1" applyFill="1" applyBorder="1" applyProtection="1">
      <alignment horizontal="left" vertical="center" indent="1"/>
    </xf>
    <xf numFmtId="0" fontId="13" fillId="2" borderId="45" xfId="0" applyFont="1" applyFill="1" applyBorder="1" applyProtection="1">
      <alignment horizontal="general" vertical="center"/>
    </xf>
    <xf numFmtId="0" fontId="13" fillId="2" borderId="46" xfId="0" applyFont="1" applyFill="1" applyBorder="1" applyProtection="1">
      <alignment horizontal="general" vertical="center"/>
    </xf>
    <xf numFmtId="0" fontId="13" fillId="2" borderId="47" xfId="0" applyFont="1" applyFill="1" applyBorder="1" applyProtection="1">
      <alignment horizontal="general" vertical="center"/>
    </xf>
    <xf numFmtId="0" fontId="45" fillId="26" borderId="48" xfId="0" applyFont="1" applyFill="1" applyBorder="1" applyProtection="1">
      <alignment horizontal="right" vertical="center" indent="1"/>
    </xf>
    <xf numFmtId="0" fontId="45" fillId="26" borderId="49" xfId="0" applyFont="1" applyFill="1" applyBorder="1" applyProtection="1">
      <alignment horizontal="right" vertical="center" indent="1"/>
    </xf>
    <xf numFmtId="0" fontId="13" fillId="2" borderId="50" xfId="0" applyFont="1" applyFill="1" applyBorder="1" applyProtection="1">
      <alignment horizontal="center" vertical="center"/>
    </xf>
    <xf numFmtId="0" fontId="13" fillId="2" borderId="51" xfId="0" applyFont="1" applyFill="1" applyBorder="1" applyProtection="1">
      <alignment horizontal="center" vertical="center"/>
    </xf>
    <xf numFmtId="0" fontId="13" fillId="2" borderId="52" xfId="0" applyFont="1" applyFill="1" applyBorder="1" applyProtection="1">
      <alignment horizontal="center" vertical="center"/>
    </xf>
    <xf numFmtId="0" fontId="43" fillId="27" borderId="53" xfId="0" applyFont="1" applyFill="1" applyBorder="1" applyProtection="1">
      <alignment horizontal="center" vertical="center"/>
    </xf>
    <xf numFmtId="0" fontId="43" fillId="27" borderId="54" xfId="0" applyFont="1" applyFill="1" applyBorder="1" applyProtection="1">
      <alignment horizontal="center" vertical="center"/>
    </xf>
    <xf numFmtId="0" fontId="43" fillId="27" borderId="55" xfId="0" applyFont="1" applyFill="1" applyBorder="1" applyProtection="1">
      <alignment horizontal="center" vertical="center"/>
    </xf>
    <xf numFmtId="0" fontId="45" fillId="27" borderId="56" xfId="0" applyFont="1" applyFill="1" applyBorder="1" applyProtection="1">
      <alignment horizontal="right" vertical="center" indent="1"/>
    </xf>
    <xf numFmtId="0" fontId="45" fillId="27" borderId="43" xfId="0" applyFont="1" applyFill="1" applyBorder="1" applyProtection="1">
      <alignment horizontal="right" vertical="center" indent="1"/>
    </xf>
    <xf numFmtId="0" fontId="13" fillId="2" borderId="45" xfId="0" applyFont="1" applyFill="1" applyBorder="1" applyProtection="1">
      <alignment horizontal="center" vertical="center"/>
    </xf>
    <xf numFmtId="0" fontId="13" fillId="2" borderId="46" xfId="0" applyFont="1" applyFill="1" applyBorder="1" applyProtection="1">
      <alignment horizontal="center" vertical="center"/>
    </xf>
    <xf numFmtId="0" fontId="13" fillId="2" borderId="57" xfId="0" applyFont="1" applyFill="1" applyBorder="1" applyProtection="1">
      <alignment horizontal="center" vertical="center"/>
    </xf>
    <xf numFmtId="0" fontId="45" fillId="27" borderId="45" xfId="0" applyFont="1" applyFill="1" applyBorder="1" applyProtection="1">
      <alignment horizontal="center" vertical="center"/>
    </xf>
    <xf numFmtId="0" fontId="45" fillId="27" borderId="57" xfId="0" applyFont="1" applyFill="1" applyBorder="1" applyProtection="1">
      <alignment horizontal="center" vertical="center"/>
    </xf>
    <xf numFmtId="0" fontId="13" fillId="2" borderId="58" xfId="0" applyFont="1" applyFill="1" applyBorder="1" applyProtection="1">
      <alignment horizontal="center" vertical="center"/>
    </xf>
    <xf numFmtId="0" fontId="13" fillId="2" borderId="45" xfId="0" applyFont="1" applyFill="1" applyBorder="1" applyProtection="1">
      <alignment horizontal="left" vertical="center"/>
    </xf>
    <xf numFmtId="0" fontId="13" fillId="2" borderId="46" xfId="0" applyFont="1" applyFill="1" applyBorder="1" applyProtection="1">
      <alignment horizontal="left" vertical="center"/>
    </xf>
    <xf numFmtId="0" fontId="13" fillId="2" borderId="58" xfId="0" applyFont="1" applyFill="1" applyBorder="1" applyProtection="1">
      <alignment horizontal="left" vertical="center"/>
    </xf>
    <xf numFmtId="0" fontId="45" fillId="27" borderId="59" xfId="0" applyFont="1" applyFill="1" applyBorder="1" applyProtection="1">
      <alignment horizontal="right" vertical="center" indent="1"/>
    </xf>
    <xf numFmtId="0" fontId="45" fillId="27" borderId="60" xfId="0" applyFont="1" applyFill="1" applyBorder="1" applyProtection="1">
      <alignment horizontal="right" vertical="center" indent="1"/>
    </xf>
    <xf numFmtId="0" fontId="13" fillId="2" borderId="61" xfId="0" applyFont="1" applyFill="1" applyBorder="1" applyProtection="1">
      <alignment horizontal="left" vertical="center"/>
    </xf>
    <xf numFmtId="0" fontId="13" fillId="2" borderId="62" xfId="0" applyFont="1" applyFill="1" applyBorder="1" applyProtection="1">
      <alignment horizontal="left" vertical="center"/>
    </xf>
    <xf numFmtId="0" fontId="13" fillId="2" borderId="63" xfId="0" applyFont="1" applyFill="1" applyBorder="1" applyProtection="1">
      <alignment horizontal="left" vertical="center"/>
    </xf>
    <xf numFmtId="0" fontId="46" fillId="25" borderId="42"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7" fillId="26" borderId="42" xfId="0" applyFont="1" applyFill="1" applyBorder="1" applyProtection="1">
      <alignment horizontal="center" vertical="center" wrapText="1"/>
    </xf>
    <xf numFmtId="0" fontId="47" fillId="26" borderId="43" xfId="0" applyFont="1" applyFill="1" applyBorder="1" applyProtection="1">
      <alignment horizontal="center" vertical="center" wrapText="1"/>
    </xf>
    <xf numFmtId="0" fontId="47" fillId="26" borderId="44" xfId="0" applyFont="1" applyFill="1" applyBorder="1" applyProtection="1">
      <alignment horizontal="center" vertical="center" wrapText="1"/>
    </xf>
    <xf numFmtId="0" fontId="48" fillId="2" borderId="42" xfId="0" applyFont="1" applyFill="1" applyBorder="1" applyProtection="1">
      <alignment horizontal="center" vertical="center"/>
    </xf>
    <xf numFmtId="0" fontId="49" fillId="2" borderId="43" xfId="0" applyFont="1" applyFill="1" applyBorder="1" applyProtection="1">
      <alignment horizontal="center" vertical="center" wrapText="1"/>
    </xf>
    <xf numFmtId="0" fontId="49" fillId="2" borderId="43" xfId="0" applyFont="1" applyFill="1" applyBorder="1" applyProtection="1">
      <alignment horizontal="left" vertical="center" wrapText="1" indent="1"/>
    </xf>
    <xf numFmtId="0" fontId="50" fillId="2" borderId="43" xfId="0" applyFont="1" applyFill="1" applyBorder="1" applyProtection="1">
      <alignment horizontal="left" vertical="center" wrapText="1"/>
    </xf>
    <xf numFmtId="0" fontId="51" fillId="28" borderId="43" xfId="0" applyFont="1" applyFill="1" applyBorder="1" applyProtection="1">
      <alignment horizontal="left" vertical="center" wrapText="1"/>
    </xf>
    <xf numFmtId="0" fontId="52" fillId="29" borderId="43" xfId="0" applyFont="1" applyFill="1" applyBorder="1" applyProtection="1">
      <alignment horizontal="left" vertical="center" wrapText="1"/>
    </xf>
    <xf numFmtId="0" fontId="53" fillId="30" borderId="43" xfId="0" applyFont="1" applyFill="1" applyBorder="1" applyProtection="1">
      <alignment horizontal="left" vertical="center" wrapText="1"/>
    </xf>
    <xf numFmtId="0" fontId="5" fillId="26" borderId="43" xfId="0" applyFont="1" applyFill="1" applyBorder="1" applyProtection="1">
      <alignment horizontal="center" vertical="center"/>
    </xf>
    <xf numFmtId="0" fontId="5" fillId="26" borderId="43" xfId="0" applyFont="1" applyFill="1" applyBorder="1" applyProtection="1">
      <alignment horizontal="left" vertical="center" wrapText="1"/>
    </xf>
    <xf numFmtId="0" fontId="54" fillId="26" borderId="44" xfId="0" applyFont="1" applyFill="1" applyBorder="1" applyProtection="1">
      <alignment horizontal="center" vertical="center" wrapText="1"/>
    </xf>
    <xf numFmtId="0" fontId="54" fillId="26" borderId="43" xfId="0" applyFont="1" applyFill="1" applyBorder="1" applyProtection="1">
      <alignment horizontal="center" vertical="center" wrapText="1"/>
    </xf>
    <xf numFmtId="0" fontId="44" fillId="24" borderId="43" xfId="0" applyFont="1" applyFill="1" applyBorder="1" applyProtection="1">
      <alignment horizontal="center" vertical="center"/>
    </xf>
    <xf numFmtId="168" fontId="13" fillId="2" borderId="43" xfId="0" applyNumberFormat="1" applyFont="1" applyFill="1" applyBorder="1" applyProtection="1">
      <alignment horizontal="left" vertical="center" indent="1"/>
    </xf>
    <xf numFmtId="169" fontId="13" fillId="2" borderId="43" xfId="0" applyNumberFormat="1" applyFont="1" applyFill="1" applyBorder="1" applyProtection="1">
      <alignment horizontal="left" vertical="center" indent="1"/>
    </xf>
    <xf numFmtId="0" fontId="50" fillId="2" borderId="45" xfId="0" applyFont="1" applyFill="1" applyBorder="1" applyProtection="1">
      <alignment horizontal="left" vertical="center"/>
    </xf>
    <xf numFmtId="0" fontId="50" fillId="2" borderId="46" xfId="0" applyFont="1" applyFill="1" applyBorder="1" applyProtection="1">
      <alignment horizontal="left" vertical="center"/>
    </xf>
    <xf numFmtId="0" fontId="45" fillId="26" borderId="42" xfId="0" applyFont="1" applyFill="1" applyBorder="1" applyProtection="1">
      <alignment horizontal="right" vertical="center"/>
    </xf>
    <xf numFmtId="0" fontId="45" fillId="26" borderId="43" xfId="0" applyFont="1" applyFill="1" applyBorder="1" applyProtection="1">
      <alignment horizontal="right" vertical="center"/>
    </xf>
    <xf numFmtId="0" fontId="13" fillId="2" borderId="43" xfId="0" applyFont="1" applyFill="1" applyBorder="1" applyProtection="1">
      <alignment horizontal="left" vertical="center"/>
    </xf>
    <xf numFmtId="0" fontId="55" fillId="2" borderId="45" xfId="0" applyFont="1" applyFill="1" applyBorder="1" applyProtection="1">
      <alignment horizontal="left" vertical="center" wrapText="1"/>
    </xf>
    <xf numFmtId="0" fontId="48" fillId="2" borderId="42" xfId="0" applyFont="1" applyFill="1" applyBorder="1" applyProtection="1">
      <alignment horizontal="center" vertical="center"/>
    </xf>
    <xf numFmtId="0" fontId="49" fillId="2" borderId="43" xfId="0" applyFont="1" applyFill="1" applyBorder="1" applyProtection="1">
      <alignment horizontal="center" vertical="center" wrapText="1"/>
    </xf>
    <xf numFmtId="0" fontId="49" fillId="2" borderId="43" xfId="0" applyFont="1" applyFill="1" applyBorder="1" applyProtection="1">
      <alignment horizontal="left" vertical="center" wrapText="1"/>
    </xf>
    <xf numFmtId="0" fontId="50" fillId="2" borderId="43" xfId="0" applyFont="1" applyFill="1" applyBorder="1" applyProtection="1">
      <alignment horizontal="left" vertical="center" wrapText="1"/>
    </xf>
    <xf numFmtId="0" fontId="52" fillId="29" borderId="43" xfId="0" applyFont="1" applyFill="1" applyBorder="1" applyProtection="1">
      <alignment horizontal="left" vertical="center" wrapText="1"/>
    </xf>
    <xf numFmtId="0" fontId="53" fillId="30" borderId="43" xfId="0" applyFont="1" applyFill="1" applyBorder="1" applyProtection="1">
      <alignment horizontal="left" vertical="center" wrapText="1"/>
    </xf>
    <xf numFmtId="0" fontId="5" fillId="26" borderId="43" xfId="0" applyFont="1" applyFill="1" applyBorder="1" applyProtection="1">
      <alignment horizontal="left" vertical="center" wrapText="1"/>
    </xf>
    <xf numFmtId="0" fontId="54" fillId="26" borderId="44" xfId="0" applyFont="1" applyFill="1" applyBorder="1" applyProtection="1">
      <alignment horizontal="center" vertical="center" wrapText="1"/>
    </xf>
    <xf numFmtId="0" fontId="49" fillId="2" borderId="64" xfId="0" applyFont="1" applyFill="1" applyBorder="1" applyProtection="1">
      <alignment horizontal="left" vertical="center" wrapText="1"/>
    </xf>
    <xf numFmtId="14" fontId="13" fillId="2" borderId="43" xfId="0" applyNumberFormat="1" applyFont="1" applyFill="1" applyBorder="1" applyProtection="1">
      <alignment horizontal="left" vertical="center" indent="1"/>
    </xf>
    <xf numFmtId="0" fontId="48" fillId="2" borderId="65" xfId="0" applyFont="1" applyFill="1" applyBorder="1" applyProtection="1">
      <alignment horizontal="center" vertical="center"/>
    </xf>
    <xf numFmtId="0" fontId="49" fillId="2" borderId="64" xfId="0" applyFont="1" applyFill="1" applyBorder="1" applyProtection="1">
      <alignment horizontal="center" vertical="center" wrapText="1"/>
    </xf>
    <xf numFmtId="0" fontId="49" fillId="2" borderId="64" xfId="0" applyFont="1" applyFill="1" applyBorder="1" applyProtection="1">
      <alignment horizontal="left" vertical="center" wrapText="1" indent="1"/>
    </xf>
    <xf numFmtId="0" fontId="50" fillId="2" borderId="64" xfId="0" applyFont="1" applyFill="1" applyBorder="1" applyProtection="1">
      <alignment horizontal="left" vertical="center" wrapText="1"/>
    </xf>
    <xf numFmtId="0" fontId="51" fillId="28" borderId="64" xfId="0" applyFont="1" applyFill="1" applyBorder="1" applyProtection="1">
      <alignment horizontal="left" vertical="center" wrapText="1"/>
    </xf>
    <xf numFmtId="0" fontId="52" fillId="29" borderId="64" xfId="0" applyFont="1" applyFill="1" applyBorder="1" applyProtection="1">
      <alignment horizontal="left" vertical="center" wrapText="1"/>
    </xf>
    <xf numFmtId="0" fontId="5" fillId="26" borderId="64" xfId="0" applyFont="1" applyFill="1" applyBorder="1" applyProtection="1">
      <alignment horizontal="center" vertical="center"/>
    </xf>
    <xf numFmtId="0" fontId="5" fillId="26" borderId="64" xfId="0" applyFont="1" applyFill="1" applyBorder="1" applyProtection="1">
      <alignment horizontal="left" vertical="center" wrapText="1"/>
    </xf>
    <xf numFmtId="0" fontId="54" fillId="26" borderId="66" xfId="0" applyFont="1" applyFill="1" applyBorder="1" applyProtection="1">
      <alignment horizontal="center" vertical="center" wrapText="1"/>
    </xf>
    <xf numFmtId="0" fontId="56" fillId="24" borderId="43" xfId="0" applyFont="1" applyFill="1" applyBorder="1" applyProtection="1">
      <alignment horizontal="center" vertical="center"/>
    </xf>
    <xf numFmtId="0" fontId="57" fillId="26" borderId="43" xfId="0" applyFont="1" applyFill="1" applyBorder="1" applyProtection="1">
      <alignment horizontal="center" vertical="center"/>
    </xf>
    <xf numFmtId="0" fontId="58" fillId="25" borderId="43" xfId="0" applyFont="1" applyFill="1" applyBorder="1" applyProtection="1">
      <alignment horizontal="left" vertical="center" indent="1"/>
    </xf>
    <xf numFmtId="0" fontId="13" fillId="31" borderId="43" xfId="0" applyFont="1" applyFill="1" applyBorder="1" applyProtection="1">
      <alignment horizontal="left" vertical="top" wrapText="1" indent="1"/>
    </xf>
    <xf numFmtId="0" fontId="10" fillId="32" borderId="43" xfId="0" applyFont="1" applyFill="1" applyBorder="1" applyProtection="1">
      <alignment horizontal="center" vertical="center"/>
    </xf>
    <xf numFmtId="0" fontId="13" fillId="28" borderId="43" xfId="0" applyFont="1" applyFill="1" applyBorder="1" applyProtection="1">
      <alignment horizontal="left" vertical="center" wrapText="1" indent="1"/>
    </xf>
    <xf numFmtId="0" fontId="10" fillId="33" borderId="43" xfId="0" applyFont="1" applyFill="1" applyBorder="1" applyProtection="1">
      <alignment horizontal="center" vertical="center"/>
    </xf>
    <xf numFmtId="0" fontId="13" fillId="29" borderId="43" xfId="0" applyFont="1" applyFill="1" applyBorder="1" applyProtection="1">
      <alignment horizontal="left" vertical="center" wrapText="1" indent="1"/>
    </xf>
    <xf numFmtId="0" fontId="10" fillId="34" borderId="43" xfId="0" applyFont="1" applyFill="1" applyBorder="1" applyProtection="1">
      <alignment horizontal="center" vertical="center"/>
    </xf>
    <xf numFmtId="0" fontId="13" fillId="30" borderId="43" xfId="0" applyFont="1" applyFill="1" applyBorder="1" applyProtection="1">
      <alignment horizontal="left" vertical="center" wrapText="1" indent="1"/>
    </xf>
    <xf numFmtId="0" fontId="59" fillId="26" borderId="43" xfId="0" applyFont="1" applyFill="1" applyBorder="1" applyProtection="1">
      <alignment horizontal="left" vertical="center" indent="1"/>
    </xf>
    <xf numFmtId="0" fontId="48" fillId="31" borderId="43" xfId="0" applyFont="1" applyFill="1" applyBorder="1" applyProtection="1">
      <alignment horizontal="left" vertical="center" wrapText="1"/>
    </xf>
    <xf numFmtId="0" fontId="48" fillId="31" borderId="43" xfId="0" applyFont="1" applyFill="1" applyBorder="1" applyProtection="1">
      <alignment horizontal="left" vertical="top" wrapText="1"/>
    </xf>
    <xf numFmtId="0" fontId="46" fillId="25" borderId="43" xfId="0" applyFont="1" applyFill="1" applyBorder="1" applyProtection="1">
      <alignment horizontal="center" vertical="center"/>
    </xf>
    <xf numFmtId="0" fontId="48" fillId="31" borderId="43" xfId="0" applyFont="1" applyFill="1" applyBorder="1" applyProtection="1">
      <alignment horizontal="center" vertical="center"/>
    </xf>
    <xf numFmtId="0" fontId="48" fillId="31" borderId="43" xfId="0" applyFont="1" applyFill="1" applyBorder="1" applyProtection="1">
      <alignment horizontal="left" vertical="center" indent="1"/>
    </xf>
    <xf numFmtId="0" fontId="60" fillId="31" borderId="43" xfId="0" applyFont="1" applyFill="1" applyBorder="1" applyProtection="1">
      <alignment horizontal="center" vertical="center"/>
    </xf>
    <xf numFmtId="0" fontId="61" fillId="31" borderId="43" xfId="0" applyFont="1" applyFill="1" applyBorder="1" applyProtection="1">
      <alignment horizontal="center" vertical="center"/>
    </xf>
    <xf numFmtId="0" fontId="48" fillId="31" borderId="43" xfId="0" applyFont="1" applyFill="1" applyBorder="1" applyProtection="1">
      <alignment horizontal="left" vertical="center" wrapText="1" indent="1"/>
    </xf>
    <xf numFmtId="0" fontId="12" fillId="0" borderId="0" xfId="0" applyFont="1">
      <alignment horizontal="general" vertical="center"/>
    </xf>
    <xf numFmtId="14" fontId="38" fillId="18" borderId="26" xfId="0" applyNumberFormat="1" applyFont="1" applyFill="1" applyBorder="1" applyProtection="1">
      <alignment horizontal="center" vertical="center" wrapText="1"/>
    </xf>
    <xf numFmtId="0" fontId="13" fillId="2" borderId="45" xfId="0" applyFont="1" applyFill="1" applyBorder="1" applyProtection="1">
      <alignment horizontal="left" vertical="center" wrapText="1"/>
    </xf>
    <xf numFmtId="0" fontId="13" fillId="2" borderId="46" xfId="0" applyFont="1" applyFill="1" applyBorder="1" applyProtection="1">
      <alignment horizontal="left" vertical="center" wrapText="1"/>
    </xf>
    <xf numFmtId="0" fontId="13" fillId="2" borderId="47" xfId="0" applyFont="1" applyFill="1" applyBorder="1" applyProtection="1">
      <alignment horizontal="left" vertical="center" wrapText="1"/>
    </xf>
    <xf numFmtId="0" fontId="62" fillId="0" borderId="18" xfId="0" applyFont="1" applyBorder="1" applyProtection="1">
      <alignment horizontal="general" vertical="center"/>
    </xf>
    <xf numFmtId="0" fontId="63" fillId="0" borderId="20" xfId="0" applyFont="1" applyBorder="1" applyProtection="1">
      <alignment horizontal="center" vertical="center" wrapText="1"/>
    </xf>
    <xf numFmtId="0" fontId="6" fillId="0" borderId="20" xfId="0" applyFont="1" applyBorder="1" applyProtection="1">
      <alignment horizontal="center" vertical="center" wrapText="1"/>
    </xf>
    <xf numFmtId="0" fontId="62" fillId="0" borderId="18" xfId="0" applyFont="1" applyBorder="1" applyProtection="1">
      <alignment horizontal="general" vertical="center" wrapText="1"/>
    </xf>
    <xf numFmtId="0" fontId="6" fillId="35" borderId="16" xfId="0" applyFont="1" applyFill="1" applyBorder="1" applyProtection="1">
      <alignment horizontal="center" vertical="center"/>
    </xf>
    <xf numFmtId="0" fontId="62" fillId="0" borderId="14" xfId="0" applyFont="1" applyBorder="1" applyProtection="1">
      <alignment horizontal="general" vertical="center"/>
    </xf>
    <xf numFmtId="0" fontId="62" fillId="0" borderId="11" xfId="0" applyFont="1" applyBorder="1" applyProtection="1">
      <alignment horizontal="general" vertical="center"/>
    </xf>
    <xf numFmtId="0" fontId="13" fillId="0" borderId="17" xfId="0" applyFont="1" applyBorder="1" applyProtection="1">
      <alignment horizontal="center" vertical="center"/>
    </xf>
    <xf numFmtId="0" fontId="6" fillId="0" borderId="16" xfId="0" applyFont="1" applyBorder="1" applyProtection="1">
      <alignment horizontal="center" vertical="center" wrapText="1"/>
    </xf>
    <xf numFmtId="0" fontId="13" fillId="31" borderId="43" xfId="0" applyFont="1" applyFill="1" applyBorder="1" applyProtection="1">
      <alignment horizontal="left" vertical="top" wrapText="1" indent="1"/>
    </xf>
    <xf numFmtId="0" fontId="48" fillId="31" borderId="43" xfId="0" applyFont="1" applyFill="1" applyBorder="1" applyProtection="1">
      <alignment horizontal="left" vertical="center" wrapText="1"/>
    </xf>
    <xf numFmtId="0" fontId="13" fillId="31" borderId="43" xfId="0" applyFont="1" applyFill="1" applyBorder="1" applyProtection="1">
      <alignment horizontal="left" vertical="top" wrapText="1" inden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13" fillId="31" borderId="43" xfId="0" applyFont="1" applyFill="1" applyBorder="1" applyProtection="1">
      <alignment horizontal="left" vertical="top" wrapText="1" inden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13" fillId="31" borderId="43" xfId="0" applyFont="1" applyFill="1" applyBorder="1" applyProtection="1">
      <alignment horizontal="left" vertical="top" wrapText="1" inden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8" fillId="31" borderId="43" xfId="0" applyFont="1" applyFill="1" applyBorder="1" applyProtection="1">
      <alignment horizontal="left" vertical="top"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4" xfId="0" applyFont="1" applyFill="1" applyBorder="1" applyProtection="1">
      <alignment horizontal="center" vertical="center" wrapText="1"/>
    </xf>
    <xf numFmtId="0" fontId="53" fillId="30" borderId="64" xfId="0" applyFont="1" applyFill="1" applyBorder="1" applyProtection="1">
      <alignment horizontal="left" vertical="center" wrapText="1"/>
    </xf>
    <xf numFmtId="0" fontId="13" fillId="2" borderId="45" xfId="0" applyFont="1" applyFill="1" applyBorder="1" applyProtection="1">
      <alignment horizontal="left"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51" fillId="28" borderId="43" xfId="0" applyFont="1" applyFill="1" applyBorder="1" applyProtection="1">
      <alignment horizontal="left" vertical="center" wrapText="1"/>
    </xf>
    <xf numFmtId="0" fontId="51" fillId="28" borderId="43" xfId="0" applyFont="1" applyFill="1" applyBorder="1" applyProtection="1">
      <alignment horizontal="left" vertical="center" wrapText="1"/>
    </xf>
    <xf numFmtId="0" fontId="52" fillId="29" borderId="43" xfId="0" applyFont="1" applyFill="1" applyBorder="1" applyProtection="1">
      <alignment horizontal="left" vertical="center" wrapText="1"/>
    </xf>
    <xf numFmtId="0" fontId="53" fillId="30" borderId="43" xfId="0" applyFont="1" applyFill="1" applyBorder="1" applyProtection="1">
      <alignment horizontal="left" vertical="center" wrapText="1"/>
    </xf>
    <xf numFmtId="0" fontId="51" fillId="28" borderId="43" xfId="0" applyFont="1" applyFill="1" applyBorder="1" applyProtection="1">
      <alignment horizontal="left" vertical="center" wrapText="1"/>
    </xf>
    <xf numFmtId="0" fontId="52" fillId="29" borderId="43" xfId="0" applyFont="1" applyFill="1" applyBorder="1" applyProtection="1">
      <alignment horizontal="left" vertical="center" wrapText="1"/>
    </xf>
    <xf numFmtId="0" fontId="53" fillId="30" borderId="43" xfId="0" applyFont="1" applyFill="1" applyBorder="1" applyProtection="1">
      <alignment horizontal="left" vertical="center" wrapText="1"/>
    </xf>
    <xf numFmtId="0" fontId="51" fillId="28" borderId="43" xfId="0" applyFont="1" applyFill="1" applyBorder="1" applyProtection="1">
      <alignment horizontal="left" vertical="center" wrapText="1"/>
    </xf>
    <xf numFmtId="0" fontId="52" fillId="29" borderId="43" xfId="0" applyFont="1" applyFill="1" applyBorder="1" applyProtection="1">
      <alignment horizontal="left"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3" xfId="0" applyFont="1" applyFill="1" applyBorder="1" applyProtection="1">
      <alignment horizontal="center" vertical="center" wrapText="1"/>
    </xf>
    <xf numFmtId="0" fontId="46" fillId="25" borderId="44" xfId="0" applyFont="1" applyFill="1" applyBorder="1" applyProtection="1">
      <alignment horizontal="center" vertical="center" wrapText="1"/>
    </xf>
    <xf numFmtId="0" fontId="52" fillId="29" borderId="43" xfId="0" applyFont="1" applyFill="1" applyBorder="1" applyProtection="1">
      <alignment horizontal="left" vertical="center" wrapText="1"/>
    </xf>
    <xf numFmtId="0" fontId="40" fillId="0" borderId="25" xfId="0" applyFont="1" applyBorder="1" applyProtection="1">
      <alignment horizontal="left" vertical="center" wrapText="1"/>
    </xf>
    <xf numFmtId="0" fontId="13" fillId="0" borderId="27" xfId="0" applyFont="1" applyBorder="1" applyProtection="1">
      <alignment horizontal="general" vertical="center" wrapText="1"/>
    </xf>
    <xf numFmtId="0" fontId="13" fillId="0" borderId="27" xfId="0" applyFont="1" applyBorder="1" applyProtection="1">
      <alignment horizontal="general" vertical="center" wrapText="1"/>
    </xf>
    <xf numFmtId="0" fontId="13" fillId="0" borderId="27" xfId="0" applyFont="1" applyBorder="1" applyProtection="1">
      <alignment horizontal="general" vertical="center" wrapText="1"/>
    </xf>
    <xf numFmtId="0" fontId="13" fillId="0" borderId="27" xfId="0" applyFont="1" applyBorder="1" applyProtection="1">
      <alignment horizontal="general" vertical="center" wrapText="1"/>
    </xf>
    <xf numFmtId="0" fontId="13" fillId="0" borderId="27" xfId="0" applyFont="1" applyBorder="1" applyProtection="1">
      <alignment horizontal="general" vertical="center" wrapText="1"/>
    </xf>
    <xf numFmtId="0" fontId="41" fillId="0" borderId="0" xfId="0" applyFont="1">
      <alignment horizontal="left" vertical="center" wrapText="1"/>
    </xf>
    <xf numFmtId="0" fontId="34" fillId="20" borderId="14" xfId="0" applyFont="1" applyFill="1" applyBorder="1" applyProtection="1">
      <alignment horizontal="center" vertical="center" wrapText="1"/>
    </xf>
    <xf numFmtId="0" fontId="6" fillId="0" borderId="14" xfId="0" applyFont="1" applyBorder="1" applyProtection="1">
      <alignment horizontal="left" vertical="center" wrapText="1"/>
    </xf>
    <xf numFmtId="0" fontId="6" fillId="0" borderId="14" xfId="0" applyFont="1" applyBorder="1" applyProtection="1">
      <alignment horizontal="left" vertical="center" wrapText="1"/>
    </xf>
    <xf numFmtId="0" fontId="6" fillId="0" borderId="17" xfId="0" applyFont="1" applyBorder="1" applyProtection="1">
      <alignment horizontal="left" vertical="center" wrapText="1"/>
    </xf>
    <xf numFmtId="0" fontId="6" fillId="0" borderId="17" xfId="0" applyFont="1" applyBorder="1" applyProtection="1">
      <alignment horizontal="left" vertical="center" wrapText="1"/>
    </xf>
    <xf numFmtId="0" fontId="6" fillId="0" borderId="17" xfId="0" applyFont="1" applyBorder="1" applyProtection="1">
      <alignment horizontal="left" vertical="center" wrapText="1"/>
    </xf>
    <xf numFmtId="0" fontId="6" fillId="0" borderId="17" xfId="0" applyFont="1" applyBorder="1" applyProtection="1">
      <alignment horizontal="left" vertical="center" wrapText="1"/>
    </xf>
    <xf numFmtId="0" fontId="6" fillId="0" borderId="14" xfId="0" applyFont="1" applyBorder="1" applyProtection="1">
      <alignment horizontal="left" vertical="center" wrapText="1"/>
    </xf>
    <xf numFmtId="0" fontId="6" fillId="0" borderId="14" xfId="0" applyFont="1" applyBorder="1" applyProtection="1">
      <alignment horizontal="left" vertical="center" wrapText="1"/>
    </xf>
    <xf numFmtId="0" fontId="6" fillId="0" borderId="14" xfId="0" applyFont="1" applyBorder="1" applyProtection="1">
      <alignment horizontal="left" vertical="center" wrapText="1"/>
    </xf>
    <xf numFmtId="0" fontId="6" fillId="0" borderId="14" xfId="0" applyFont="1" applyBorder="1" applyProtection="1">
      <alignment horizontal="left" vertical="center" wrapText="1"/>
    </xf>
    <xf numFmtId="0" fontId="18" fillId="6" borderId="14" xfId="0" applyFont="1" applyFill="1" applyBorder="1" applyProtection="1">
      <alignment horizontal="center" vertical="center" wrapText="1"/>
    </xf>
    <xf numFmtId="0" fontId="64" fillId="0" borderId="25" xfId="0" applyFont="1" applyBorder="1" applyProtection="1">
      <alignment horizontal="general" vertical="center"/>
    </xf>
    <xf numFmtId="0" fontId="65" fillId="26" borderId="42" xfId="0" applyFont="1" applyFill="1" applyBorder="1" applyProtection="1">
      <alignment horizontal="right" vertical="center"/>
    </xf>
    <xf numFmtId="0" fontId="50" fillId="2" borderId="45" xfId="0" applyFont="1" applyFill="1" applyBorder="1" applyProtection="1">
      <alignment horizontal="left" vertical="center" wrapText="1"/>
    </xf>
    <xf numFmtId="0" fontId="50" fillId="2" borderId="46" xfId="0" applyFont="1" applyFill="1" applyBorder="1" applyProtection="1">
      <alignment horizontal="left" vertical="center" wrapText="1"/>
    </xf>
    <xf numFmtId="0" fontId="10" fillId="25" borderId="39" xfId="0" applyFont="1" applyFill="1" applyBorder="1" applyProtection="1">
      <alignment horizontal="left" vertical="center" indent="1"/>
    </xf>
    <xf numFmtId="0" fontId="10" fillId="25" borderId="38" xfId="0" applyFont="1" applyFill="1" applyBorder="1" applyProtection="1">
      <alignment horizontal="left" vertical="center" indent="1"/>
    </xf>
    <xf numFmtId="0" fontId="10" fillId="25" borderId="40" xfId="0" applyFont="1" applyFill="1" applyBorder="1" applyProtection="1">
      <alignment horizontal="left" vertical="center" indent="1"/>
    </xf>
    <xf numFmtId="0" fontId="66" fillId="31" borderId="43" xfId="0" applyFont="1" applyFill="1" applyBorder="1" applyProtection="1">
      <alignment horizontal="left" vertical="top" wrapText="1" indent="1"/>
    </xf>
    <xf numFmtId="0" fontId="67" fillId="31" borderId="43" xfId="0" applyFont="1" applyFill="1" applyBorder="1" applyProtection="1">
      <alignment horizontal="left" vertical="center" wrapText="1"/>
    </xf>
    <xf numFmtId="0" fontId="68" fillId="31" borderId="43" xfId="0" applyFont="1" applyFill="1" applyBorder="1" applyProtection="1">
      <alignment horizontal="left" vertical="top" wrapText="1" indent="1"/>
    </xf>
    <xf numFmtId="0" fontId="69" fillId="31" borderId="43" xfId="0" applyFont="1" applyFill="1" applyBorder="1" applyProtection="1">
      <alignment horizontal="left" vertical="top" wrapText="1"/>
    </xf>
    <xf numFmtId="0" fontId="70" fillId="31" borderId="43" xfId="0" applyFont="1" applyFill="1" applyBorder="1" applyProtection="1">
      <alignment horizontal="left" vertical="top" wrapText="1"/>
    </xf>
    <xf numFmtId="0" fontId="71" fillId="31" borderId="43" xfId="0" applyFont="1" applyFill="1" applyBorder="1" applyProtection="1">
      <alignment horizontal="left" vertical="top" wrapText="1"/>
    </xf>
    <xf numFmtId="0" fontId="72" fillId="31" borderId="43" xfId="0" applyFont="1" applyFill="1" applyBorder="1" applyProtection="1">
      <alignment horizontal="left" vertical="top" wrapText="1"/>
    </xf>
    <xf numFmtId="0" fontId="73" fillId="31" borderId="43" xfId="0" applyFont="1" applyFill="1" applyBorder="1" applyProtection="1">
      <alignment horizontal="left" vertical="top" wrapText="1"/>
    </xf>
    <xf numFmtId="0" fontId="74" fillId="31" borderId="43" xfId="0" applyFont="1" applyFill="1" applyBorder="1" applyProtection="1">
      <alignment horizontal="left" vertical="top" wrapText="1" indent="1"/>
    </xf>
    <xf numFmtId="0" fontId="75" fillId="31" borderId="43" xfId="0" applyFont="1" applyFill="1" applyBorder="1" applyProtection="1">
      <alignment horizontal="left" vertical="top" wrapText="1"/>
    </xf>
    <xf numFmtId="0" fontId="76" fillId="31" borderId="43" xfId="0" applyFont="1" applyFill="1" applyBorder="1" applyProtection="1">
      <alignment horizontal="left" vertical="top" wrapText="1"/>
    </xf>
    <xf numFmtId="0" fontId="77" fillId="31" borderId="43" xfId="0" applyFont="1" applyFill="1" applyBorder="1" applyProtection="1">
      <alignment horizontal="left" vertical="top" wrapText="1"/>
    </xf>
    <xf numFmtId="0" fontId="78" fillId="31" borderId="43" xfId="0" applyFont="1" applyFill="1" applyBorder="1" applyProtection="1">
      <alignment horizontal="left" vertical="top" wrapText="1"/>
    </xf>
    <xf numFmtId="0" fontId="79" fillId="31" borderId="43" xfId="0" applyFont="1" applyFill="1" applyBorder="1" applyProtection="1">
      <alignment horizontal="left" vertical="top" wrapText="1"/>
    </xf>
    <xf numFmtId="0" fontId="80" fillId="31" borderId="43" xfId="0" applyFont="1" applyFill="1" applyBorder="1" applyProtection="1">
      <alignment horizontal="left" vertical="top" wrapText="1"/>
    </xf>
    <xf numFmtId="0" fontId="81" fillId="31" borderId="43" xfId="0" applyFont="1" applyFill="1" applyBorder="1" applyProtection="1">
      <alignment horizontal="left" vertical="top" wrapText="1" indent="1"/>
    </xf>
    <xf numFmtId="0" fontId="82" fillId="31" borderId="43" xfId="0" applyFont="1" applyFill="1" applyBorder="1" applyProtection="1">
      <alignment horizontal="left" vertical="top" wrapText="1"/>
    </xf>
    <xf numFmtId="0" fontId="83" fillId="31" borderId="43" xfId="0" applyFont="1" applyFill="1" applyBorder="1" applyProtection="1">
      <alignment horizontal="left" vertical="top" wrapText="1"/>
    </xf>
    <xf numFmtId="0" fontId="84" fillId="31" borderId="43" xfId="0" applyFont="1" applyFill="1" applyBorder="1" applyProtection="1">
      <alignment horizontal="left" vertical="top" wrapText="1"/>
    </xf>
    <xf numFmtId="0" fontId="85" fillId="31" borderId="43" xfId="0" applyFont="1" applyFill="1" applyBorder="1" applyProtection="1">
      <alignment horizontal="left" vertical="top" wrapText="1"/>
    </xf>
    <xf numFmtId="0" fontId="86" fillId="31" borderId="43" xfId="0" applyFont="1" applyFill="1" applyBorder="1" applyProtection="1">
      <alignment horizontal="left" vertical="top" wrapText="1"/>
    </xf>
    <xf numFmtId="0" fontId="87" fillId="25" borderId="43" xfId="0" applyFont="1" applyFill="1" applyBorder="1" applyProtection="1">
      <alignment horizontal="center" vertical="center" wrapText="1"/>
    </xf>
    <xf numFmtId="0" fontId="88" fillId="25" borderId="43" xfId="0" applyFont="1" applyFill="1" applyBorder="1" applyProtection="1">
      <alignment horizontal="center" vertical="center" wrapText="1"/>
    </xf>
    <xf numFmtId="0" fontId="89" fillId="25" borderId="43" xfId="0" applyFont="1" applyFill="1" applyBorder="1" applyProtection="1">
      <alignment horizontal="center" vertical="center" wrapText="1"/>
    </xf>
    <xf numFmtId="0" fontId="90" fillId="25" borderId="43" xfId="0" applyFont="1" applyFill="1" applyBorder="1" applyProtection="1">
      <alignment horizontal="center" vertical="center" wrapText="1"/>
    </xf>
    <xf numFmtId="0" fontId="91" fillId="25" borderId="43" xfId="0" applyFont="1" applyFill="1" applyBorder="1" applyProtection="1">
      <alignment horizontal="center" vertical="center" wrapText="1"/>
    </xf>
    <xf numFmtId="0" fontId="92" fillId="25" borderId="44" xfId="0" applyFont="1" applyFill="1" applyBorder="1" applyProtection="1">
      <alignment horizontal="center" vertical="center" wrapText="1"/>
    </xf>
    <xf numFmtId="0" fontId="93" fillId="30" borderId="64" xfId="0" applyFont="1" applyFill="1" applyBorder="1" applyProtection="1">
      <alignment horizontal="left" vertical="center" wrapText="1"/>
    </xf>
    <xf numFmtId="0" fontId="94" fillId="2" borderId="45" xfId="0" applyFont="1" applyFill="1" applyBorder="1" applyProtection="1">
      <alignment horizontal="left" vertical="center" wrapText="1"/>
    </xf>
    <xf numFmtId="0" fontId="95" fillId="25" borderId="43" xfId="0" applyFont="1" applyFill="1" applyBorder="1" applyProtection="1">
      <alignment horizontal="center" vertical="center" wrapText="1"/>
    </xf>
    <xf numFmtId="0" fontId="96" fillId="25" borderId="43" xfId="0" applyFont="1" applyFill="1" applyBorder="1" applyProtection="1">
      <alignment horizontal="center" vertical="center" wrapText="1"/>
    </xf>
    <xf numFmtId="0" fontId="97" fillId="25" borderId="43" xfId="0" applyFont="1" applyFill="1" applyBorder="1" applyProtection="1">
      <alignment horizontal="center" vertical="center" wrapText="1"/>
    </xf>
    <xf numFmtId="0" fontId="98" fillId="25" borderId="43" xfId="0" applyFont="1" applyFill="1" applyBorder="1" applyProtection="1">
      <alignment horizontal="center" vertical="center" wrapText="1"/>
    </xf>
    <xf numFmtId="0" fontId="99" fillId="25" borderId="43" xfId="0" applyFont="1" applyFill="1" applyBorder="1" applyProtection="1">
      <alignment horizontal="center" vertical="center" wrapText="1"/>
    </xf>
    <xf numFmtId="0" fontId="100" fillId="25" borderId="44" xfId="0" applyFont="1" applyFill="1" applyBorder="1" applyProtection="1">
      <alignment horizontal="center" vertical="center" wrapText="1"/>
    </xf>
    <xf numFmtId="0" fontId="101" fillId="28" borderId="43" xfId="0" applyFont="1" applyFill="1" applyBorder="1" applyProtection="1">
      <alignment horizontal="left" vertical="center" wrapText="1"/>
    </xf>
    <xf numFmtId="0" fontId="102" fillId="28" borderId="43" xfId="0" applyFont="1" applyFill="1" applyBorder="1" applyProtection="1">
      <alignment horizontal="left" vertical="center" wrapText="1"/>
    </xf>
    <xf numFmtId="0" fontId="103" fillId="29" borderId="43" xfId="0" applyFont="1" applyFill="1" applyBorder="1" applyProtection="1">
      <alignment horizontal="left" vertical="center" wrapText="1"/>
    </xf>
    <xf numFmtId="0" fontId="104" fillId="30" borderId="43" xfId="0" applyFont="1" applyFill="1" applyBorder="1" applyProtection="1">
      <alignment horizontal="left" vertical="center" wrapText="1"/>
    </xf>
    <xf numFmtId="0" fontId="105" fillId="26" borderId="43" xfId="0" applyFont="1" applyFill="1" applyBorder="1" applyProtection="1">
      <alignment horizontal="left" vertical="center" wrapText="1"/>
    </xf>
    <xf numFmtId="0" fontId="106" fillId="28" borderId="43" xfId="0" applyFont="1" applyFill="1" applyBorder="1" applyProtection="1">
      <alignment horizontal="left" vertical="center" wrapText="1"/>
    </xf>
    <xf numFmtId="0" fontId="107" fillId="29" borderId="43" xfId="0" applyFont="1" applyFill="1" applyBorder="1" applyProtection="1">
      <alignment horizontal="left" vertical="center" wrapText="1"/>
    </xf>
    <xf numFmtId="0" fontId="108" fillId="30" borderId="43" xfId="0" applyFont="1" applyFill="1" applyBorder="1" applyProtection="1">
      <alignment horizontal="left" vertical="center" wrapText="1"/>
    </xf>
    <xf numFmtId="0" fontId="109" fillId="26" borderId="43" xfId="0" applyFont="1" applyFill="1" applyBorder="1" applyProtection="1">
      <alignment horizontal="left" vertical="center" wrapText="1"/>
    </xf>
    <xf numFmtId="0" fontId="110" fillId="28" borderId="43" xfId="0" applyFont="1" applyFill="1" applyBorder="1" applyProtection="1">
      <alignment horizontal="left" vertical="center" wrapText="1"/>
    </xf>
    <xf numFmtId="0" fontId="111" fillId="29" borderId="43" xfId="0" applyFont="1" applyFill="1" applyBorder="1" applyProtection="1">
      <alignment horizontal="left" vertical="center" wrapText="1"/>
    </xf>
    <xf numFmtId="0" fontId="112" fillId="25" borderId="43" xfId="0" applyFont="1" applyFill="1" applyBorder="1" applyProtection="1">
      <alignment horizontal="center" vertical="center" wrapText="1"/>
    </xf>
    <xf numFmtId="0" fontId="113" fillId="25" borderId="43" xfId="0" applyFont="1" applyFill="1" applyBorder="1" applyProtection="1">
      <alignment horizontal="center" vertical="center" wrapText="1"/>
    </xf>
    <xf numFmtId="0" fontId="114" fillId="25" borderId="43" xfId="0" applyFont="1" applyFill="1" applyBorder="1" applyProtection="1">
      <alignment horizontal="center" vertical="center" wrapText="1"/>
    </xf>
    <xf numFmtId="0" fontId="115" fillId="25" borderId="43" xfId="0" applyFont="1" applyFill="1" applyBorder="1" applyProtection="1">
      <alignment horizontal="center" vertical="center" wrapText="1"/>
    </xf>
    <xf numFmtId="0" fontId="116" fillId="25" borderId="43" xfId="0" applyFont="1" applyFill="1" applyBorder="1" applyProtection="1">
      <alignment horizontal="center" vertical="center" wrapText="1"/>
    </xf>
    <xf numFmtId="0" fontId="117" fillId="25" borderId="44" xfId="0" applyFont="1" applyFill="1" applyBorder="1" applyProtection="1">
      <alignment horizontal="center" vertical="center" wrapText="1"/>
    </xf>
    <xf numFmtId="0" fontId="118" fillId="29" borderId="43" xfId="0" applyFont="1" applyFill="1" applyBorder="1" applyProtection="1">
      <alignment horizontal="left" vertical="center" wrapText="1"/>
    </xf>
    <xf numFmtId="0" fontId="119" fillId="0" borderId="25" xfId="0" applyFont="1" applyBorder="1" applyProtection="1">
      <alignment horizontal="left" vertical="center" wrapText="1"/>
    </xf>
    <xf numFmtId="0" fontId="120" fillId="0" borderId="27" xfId="0" applyFont="1" applyBorder="1" applyProtection="1">
      <alignment horizontal="general" vertical="center" wrapText="1"/>
    </xf>
    <xf numFmtId="0" fontId="121" fillId="0" borderId="27" xfId="0" applyFont="1" applyBorder="1" applyProtection="1">
      <alignment horizontal="general" vertical="center" wrapText="1"/>
    </xf>
    <xf numFmtId="0" fontId="122" fillId="0" borderId="27" xfId="0" applyFont="1" applyBorder="1" applyProtection="1">
      <alignment horizontal="general" vertical="center" wrapText="1"/>
    </xf>
    <xf numFmtId="0" fontId="123" fillId="0" borderId="27" xfId="0" applyFont="1" applyBorder="1" applyProtection="1">
      <alignment horizontal="general" vertical="center" wrapText="1"/>
    </xf>
    <xf numFmtId="0" fontId="124" fillId="0" borderId="27" xfId="0" applyFont="1" applyBorder="1" applyProtection="1">
      <alignment horizontal="general" vertical="center" wrapText="1"/>
    </xf>
    <xf numFmtId="0" fontId="125" fillId="0" borderId="0" xfId="0" applyFont="1">
      <alignment horizontal="left" vertical="center" wrapText="1"/>
    </xf>
    <xf numFmtId="0" fontId="126" fillId="20" borderId="14" xfId="0" applyFont="1" applyFill="1" applyBorder="1" applyProtection="1">
      <alignment horizontal="center" vertical="center" wrapText="1"/>
    </xf>
    <xf numFmtId="0" fontId="127" fillId="0" borderId="14" xfId="0" applyFont="1" applyBorder="1" applyProtection="1">
      <alignment horizontal="left" vertical="center" wrapText="1"/>
    </xf>
    <xf numFmtId="0" fontId="128" fillId="0" borderId="14" xfId="0" applyFont="1" applyBorder="1" applyProtection="1">
      <alignment horizontal="left" vertical="center" wrapText="1"/>
    </xf>
    <xf numFmtId="0" fontId="129" fillId="0" borderId="17" xfId="0" applyFont="1" applyBorder="1" applyProtection="1">
      <alignment horizontal="left" vertical="center" wrapText="1"/>
    </xf>
    <xf numFmtId="0" fontId="130" fillId="0" borderId="17" xfId="0" applyFont="1" applyBorder="1" applyProtection="1">
      <alignment horizontal="left" vertical="center" wrapText="1"/>
    </xf>
    <xf numFmtId="0" fontId="131" fillId="0" borderId="17" xfId="0" applyFont="1" applyBorder="1" applyProtection="1">
      <alignment horizontal="left" vertical="center" wrapText="1"/>
    </xf>
    <xf numFmtId="0" fontId="132" fillId="0" borderId="17" xfId="0" applyFont="1" applyBorder="1" applyProtection="1">
      <alignment horizontal="left" vertical="center" wrapText="1"/>
    </xf>
    <xf numFmtId="0" fontId="133" fillId="0" borderId="14" xfId="0" applyFont="1" applyBorder="1" applyProtection="1">
      <alignment horizontal="left" vertical="center" wrapText="1"/>
    </xf>
    <xf numFmtId="0" fontId="134" fillId="0" borderId="14" xfId="0" applyFont="1" applyBorder="1" applyProtection="1">
      <alignment horizontal="left" vertical="center" wrapText="1"/>
    </xf>
    <xf numFmtId="0" fontId="135" fillId="0" borderId="14" xfId="0" applyFont="1" applyBorder="1" applyProtection="1">
      <alignment horizontal="left" vertical="center" wrapText="1"/>
    </xf>
    <xf numFmtId="0" fontId="136" fillId="0" borderId="14" xfId="0" applyFont="1" applyBorder="1" applyProtection="1">
      <alignment horizontal="left" vertical="center" wrapText="1"/>
    </xf>
    <xf numFmtId="0" fontId="137" fillId="6" borderId="14" xfId="0" applyFont="1" applyFill="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21.9975" customHeight="1"/>
  <cols>
    <col min="1" max="1" width="3.9990234375" customWidth="1" style="245"/>
    <col min="2" max="2" width="18" customWidth="1" style="245"/>
    <col min="3" max="3" width="15.9990234375" customWidth="1" style="245"/>
    <col min="4" max="5" width="13.998046875" customWidth="1" style="245"/>
    <col min="6" max="10" width="37.998046875" customWidth="1" style="245"/>
  </cols>
  <sheetData>
    <row r="1" ht="50" customHeight="1">
      <c r="A1" s="329" t="s">
        <v>0</v>
      </c>
      <c r="B1" s="329"/>
      <c r="C1" s="329"/>
      <c r="D1" s="329"/>
      <c r="E1" s="329"/>
      <c r="F1" s="329"/>
      <c r="G1" s="329"/>
      <c r="H1" s="329"/>
      <c r="I1" s="329"/>
      <c r="J1" s="329"/>
    </row>
    <row r="2" ht="25" customHeight="1">
      <c r="A2" s="330" t="s">
        <v>1</v>
      </c>
      <c r="B2" s="330"/>
      <c r="C2" s="330"/>
      <c r="D2" s="330"/>
      <c r="E2" s="330"/>
      <c r="F2" s="330"/>
      <c r="G2" s="330"/>
      <c r="H2" s="330"/>
      <c r="I2" s="330"/>
      <c r="J2" s="330"/>
    </row>
    <row r="4" ht="32" customHeight="1">
      <c r="A4" s="331" t="s">
        <v>2</v>
      </c>
      <c r="B4" s="331"/>
      <c r="C4" s="331"/>
      <c r="D4" s="331"/>
      <c r="E4" s="331"/>
      <c r="F4" s="331"/>
      <c r="G4" s="331"/>
      <c r="H4" s="331"/>
      <c r="I4" s="331"/>
      <c r="J4" s="331"/>
    </row>
    <row r="5" ht="110" customHeight="1">
      <c r="A5" s="438" t="s">
        <v>3</v>
      </c>
      <c r="B5" s="332"/>
      <c r="C5" s="332"/>
      <c r="D5" s="332"/>
      <c r="E5" s="332"/>
      <c r="F5" s="332"/>
      <c r="G5" s="332"/>
      <c r="H5" s="332"/>
      <c r="I5" s="332"/>
      <c r="J5" s="332"/>
    </row>
    <row r="7" ht="32" customHeight="1">
      <c r="A7" s="331" t="s">
        <v>4</v>
      </c>
      <c r="B7" s="331"/>
      <c r="C7" s="331"/>
      <c r="D7" s="331"/>
      <c r="E7" s="331"/>
      <c r="F7" s="331"/>
      <c r="G7" s="331"/>
      <c r="H7" s="331"/>
      <c r="I7" s="331"/>
      <c r="J7" s="331"/>
    </row>
    <row r="8" ht="40" customHeight="1">
      <c r="A8" s="333" t="s">
        <v>5</v>
      </c>
      <c r="B8" s="333"/>
      <c r="C8" s="334" t="s">
        <v>6</v>
      </c>
      <c r="D8" s="334"/>
      <c r="E8" s="334"/>
      <c r="F8" s="334"/>
      <c r="G8" s="334"/>
      <c r="H8" s="334"/>
      <c r="I8" s="334"/>
      <c r="J8" s="334"/>
    </row>
    <row r="9" ht="40" customHeight="1">
      <c r="A9" s="335" t="s">
        <v>7</v>
      </c>
      <c r="B9" s="335"/>
      <c r="C9" s="336" t="s">
        <v>8</v>
      </c>
      <c r="D9" s="336"/>
      <c r="E9" s="336"/>
      <c r="F9" s="336"/>
      <c r="G9" s="336"/>
      <c r="H9" s="336"/>
      <c r="I9" s="336"/>
      <c r="J9" s="336"/>
    </row>
    <row r="10" ht="40" customHeight="1">
      <c r="A10" s="337" t="s">
        <v>9</v>
      </c>
      <c r="B10" s="337"/>
      <c r="C10" s="338" t="s">
        <v>10</v>
      </c>
      <c r="D10" s="338"/>
      <c r="E10" s="338"/>
      <c r="F10" s="338"/>
      <c r="G10" s="338"/>
      <c r="H10" s="338"/>
      <c r="I10" s="338"/>
      <c r="J10" s="338"/>
    </row>
    <row r="12" ht="32" customHeight="1">
      <c r="A12" s="331" t="s">
        <v>11</v>
      </c>
      <c r="B12" s="331"/>
      <c r="C12" s="331"/>
      <c r="D12" s="331"/>
      <c r="E12" s="331"/>
      <c r="F12" s="331"/>
      <c r="G12" s="331"/>
      <c r="H12" s="331"/>
      <c r="I12" s="331"/>
      <c r="J12" s="331"/>
    </row>
    <row r="14" ht="28" customHeight="1">
      <c r="A14" s="339" t="s">
        <v>12</v>
      </c>
      <c r="B14" s="339"/>
      <c r="C14" s="339"/>
      <c r="D14" s="339"/>
      <c r="E14" s="339"/>
      <c r="F14" s="339"/>
      <c r="G14" s="339"/>
      <c r="H14" s="339"/>
      <c r="I14" s="339"/>
      <c r="J14" s="339"/>
    </row>
    <row r="15" ht="25" customHeight="1">
      <c r="A15" s="286" t="s">
        <v>13</v>
      </c>
      <c r="B15" s="286" t="s">
        <v>14</v>
      </c>
      <c r="C15" s="286" t="s">
        <v>15</v>
      </c>
      <c r="D15" s="286" t="s">
        <v>16</v>
      </c>
      <c r="E15" s="286" t="s">
        <v>17</v>
      </c>
      <c r="F15" s="286" t="s">
        <v>18</v>
      </c>
      <c r="G15" s="286" t="s">
        <v>19</v>
      </c>
      <c r="H15" s="286" t="s">
        <v>20</v>
      </c>
      <c r="I15" s="286" t="s">
        <v>21</v>
      </c>
      <c r="J15" s="286" t="s">
        <v>22</v>
      </c>
    </row>
    <row r="16" s="6" customFormat="1" ht="58" customHeight="1">
      <c r="A16" s="340" t="s">
        <v>13</v>
      </c>
      <c r="B16" s="340" t="s">
        <v>23</v>
      </c>
      <c r="C16" s="340" t="s">
        <v>24</v>
      </c>
      <c r="D16" s="340" t="s">
        <v>25</v>
      </c>
      <c r="E16" s="340" t="s">
        <v>26</v>
      </c>
      <c r="F16" s="340" t="s">
        <v>27</v>
      </c>
      <c r="G16" s="439" t="s">
        <v>28</v>
      </c>
      <c r="H16" s="340" t="s">
        <v>29</v>
      </c>
      <c r="I16" s="340" t="s">
        <v>30</v>
      </c>
      <c r="J16" s="340" t="s">
        <v>31</v>
      </c>
    </row>
    <row r="18" ht="28" customHeight="1">
      <c r="A18" s="339" t="s">
        <v>32</v>
      </c>
      <c r="B18" s="339"/>
      <c r="C18" s="339"/>
      <c r="D18" s="339"/>
      <c r="E18" s="339"/>
      <c r="F18" s="339"/>
      <c r="G18" s="339"/>
      <c r="H18" s="339"/>
      <c r="I18" s="339"/>
      <c r="J18" s="339"/>
    </row>
    <row r="19" ht="154.99999999999997" customHeight="1">
      <c r="A19" s="440" t="s">
        <v>33</v>
      </c>
      <c r="B19" s="332"/>
      <c r="C19" s="332"/>
      <c r="D19" s="332"/>
      <c r="E19" s="332"/>
      <c r="F19" s="332"/>
      <c r="G19" s="332"/>
      <c r="H19" s="332"/>
      <c r="I19" s="332"/>
      <c r="J19" s="332"/>
    </row>
    <row r="20" ht="25" customHeight="1">
      <c r="A20" s="286" t="s">
        <v>13</v>
      </c>
      <c r="B20" s="286" t="s">
        <v>15</v>
      </c>
      <c r="C20" s="286" t="s">
        <v>34</v>
      </c>
      <c r="D20" s="286" t="s">
        <v>20</v>
      </c>
      <c r="E20" s="286" t="s">
        <v>35</v>
      </c>
      <c r="F20" s="286" t="s">
        <v>36</v>
      </c>
      <c r="G20" s="286" t="s">
        <v>37</v>
      </c>
      <c r="H20" s="286" t="s">
        <v>38</v>
      </c>
      <c r="I20" s="286" t="s">
        <v>39</v>
      </c>
      <c r="J20" s="286" t="s">
        <v>40</v>
      </c>
    </row>
    <row r="21" ht="130" customHeight="1">
      <c r="A21" s="341" t="s">
        <v>13</v>
      </c>
      <c r="B21" s="341" t="s">
        <v>24</v>
      </c>
      <c r="C21" s="341" t="s">
        <v>41</v>
      </c>
      <c r="D21" s="441" t="s">
        <v>42</v>
      </c>
      <c r="E21" s="341" t="s">
        <v>43</v>
      </c>
      <c r="F21" s="442" t="s">
        <v>44</v>
      </c>
      <c r="G21" s="443" t="s">
        <v>45</v>
      </c>
      <c r="H21" s="444" t="s">
        <v>46</v>
      </c>
      <c r="I21" s="445" t="s">
        <v>47</v>
      </c>
      <c r="J21" s="341" t="s">
        <v>48</v>
      </c>
    </row>
    <row r="23" ht="28" customHeight="1">
      <c r="A23" s="339" t="s">
        <v>49</v>
      </c>
      <c r="B23" s="339"/>
      <c r="C23" s="339"/>
      <c r="D23" s="339"/>
      <c r="E23" s="339"/>
      <c r="F23" s="339"/>
      <c r="G23" s="339"/>
      <c r="H23" s="339"/>
      <c r="I23" s="339"/>
      <c r="J23" s="339"/>
    </row>
    <row r="24" ht="154.99999999999997" customHeight="1">
      <c r="A24" s="446" t="s">
        <v>50</v>
      </c>
      <c r="B24" s="332"/>
      <c r="C24" s="332"/>
      <c r="D24" s="332"/>
      <c r="E24" s="332"/>
      <c r="F24" s="332"/>
      <c r="G24" s="332"/>
      <c r="H24" s="332"/>
      <c r="I24" s="332"/>
      <c r="J24" s="332"/>
    </row>
    <row r="25" ht="25" customHeight="1">
      <c r="A25" s="286" t="s">
        <v>13</v>
      </c>
      <c r="B25" s="286" t="s">
        <v>15</v>
      </c>
      <c r="C25" s="286" t="s">
        <v>34</v>
      </c>
      <c r="D25" s="286" t="s">
        <v>20</v>
      </c>
      <c r="E25" s="286" t="s">
        <v>35</v>
      </c>
      <c r="F25" s="286" t="s">
        <v>36</v>
      </c>
      <c r="G25" s="286" t="s">
        <v>37</v>
      </c>
      <c r="H25" s="286" t="s">
        <v>38</v>
      </c>
      <c r="I25" s="286" t="s">
        <v>39</v>
      </c>
      <c r="J25" s="286" t="s">
        <v>40</v>
      </c>
    </row>
    <row r="26" ht="130" customHeight="1">
      <c r="A26" s="341" t="s">
        <v>13</v>
      </c>
      <c r="B26" s="341" t="s">
        <v>24</v>
      </c>
      <c r="C26" s="341" t="s">
        <v>41</v>
      </c>
      <c r="D26" s="447" t="s">
        <v>51</v>
      </c>
      <c r="E26" s="341" t="s">
        <v>43</v>
      </c>
      <c r="F26" s="448" t="s">
        <v>44</v>
      </c>
      <c r="G26" s="449" t="s">
        <v>45</v>
      </c>
      <c r="H26" s="450" t="s">
        <v>46</v>
      </c>
      <c r="I26" s="451" t="s">
        <v>47</v>
      </c>
      <c r="J26" s="452" t="s">
        <v>52</v>
      </c>
    </row>
    <row r="28" ht="28" customHeight="1">
      <c r="A28" s="339" t="s">
        <v>53</v>
      </c>
      <c r="B28" s="339"/>
      <c r="C28" s="339"/>
      <c r="D28" s="339"/>
      <c r="E28" s="339"/>
      <c r="F28" s="339"/>
      <c r="G28" s="339"/>
      <c r="H28" s="339"/>
      <c r="I28" s="339"/>
      <c r="J28" s="339"/>
    </row>
    <row r="29" ht="154.99999999999997" customHeight="1">
      <c r="A29" s="453" t="s">
        <v>54</v>
      </c>
      <c r="B29" s="332"/>
      <c r="C29" s="332"/>
      <c r="D29" s="332"/>
      <c r="E29" s="332"/>
      <c r="F29" s="332"/>
      <c r="G29" s="332"/>
      <c r="H29" s="332"/>
      <c r="I29" s="332"/>
      <c r="J29" s="332"/>
    </row>
    <row r="30" ht="25" customHeight="1">
      <c r="A30" s="286" t="s">
        <v>13</v>
      </c>
      <c r="B30" s="286" t="s">
        <v>15</v>
      </c>
      <c r="C30" s="286" t="s">
        <v>34</v>
      </c>
      <c r="D30" s="286" t="s">
        <v>20</v>
      </c>
      <c r="E30" s="286" t="s">
        <v>35</v>
      </c>
      <c r="F30" s="286" t="s">
        <v>36</v>
      </c>
      <c r="G30" s="286" t="s">
        <v>37</v>
      </c>
      <c r="H30" s="286" t="s">
        <v>38</v>
      </c>
      <c r="I30" s="286" t="s">
        <v>39</v>
      </c>
      <c r="J30" s="286" t="s">
        <v>40</v>
      </c>
    </row>
    <row r="31" ht="130" customHeight="1">
      <c r="A31" s="341" t="s">
        <v>13</v>
      </c>
      <c r="B31" s="341" t="s">
        <v>55</v>
      </c>
      <c r="C31" s="341" t="s">
        <v>24</v>
      </c>
      <c r="D31" s="454" t="s">
        <v>56</v>
      </c>
      <c r="E31" s="341" t="s">
        <v>57</v>
      </c>
      <c r="F31" s="455" t="s">
        <v>58</v>
      </c>
      <c r="G31" s="456" t="s">
        <v>59</v>
      </c>
      <c r="H31" s="457" t="s">
        <v>60</v>
      </c>
      <c r="I31" s="458" t="s">
        <v>61</v>
      </c>
      <c r="J31" s="341" t="s">
        <v>62</v>
      </c>
    </row>
    <row r="33" ht="32" customHeight="1">
      <c r="A33" s="331" t="s">
        <v>63</v>
      </c>
      <c r="B33" s="331"/>
      <c r="C33" s="331"/>
      <c r="D33" s="331"/>
      <c r="E33" s="331"/>
      <c r="F33" s="331"/>
      <c r="G33" s="331"/>
      <c r="H33" s="331"/>
      <c r="I33" s="331"/>
      <c r="J33" s="331"/>
    </row>
    <row r="34" ht="25" customHeight="1">
      <c r="A34" s="342" t="s">
        <v>64</v>
      </c>
      <c r="B34" s="342" t="s">
        <v>65</v>
      </c>
      <c r="C34" s="342"/>
      <c r="D34" s="342"/>
      <c r="E34" s="342"/>
      <c r="F34" s="342"/>
      <c r="G34" s="342"/>
      <c r="H34" s="342" t="s">
        <v>66</v>
      </c>
      <c r="I34" s="342"/>
      <c r="J34" s="342"/>
    </row>
    <row r="35" ht="21.9975" customHeight="1">
      <c r="A35" s="343" t="s">
        <v>67</v>
      </c>
      <c r="B35" s="344" t="s">
        <v>68</v>
      </c>
      <c r="C35" s="344"/>
      <c r="D35" s="344"/>
      <c r="E35" s="344"/>
      <c r="F35" s="344"/>
      <c r="G35" s="344"/>
      <c r="H35" s="345" t="s">
        <v>69</v>
      </c>
      <c r="I35" s="345"/>
      <c r="J35" s="345"/>
    </row>
    <row r="36" ht="21.9975" customHeight="1">
      <c r="A36" s="343" t="s">
        <v>70</v>
      </c>
      <c r="B36" s="344" t="s">
        <v>71</v>
      </c>
      <c r="C36" s="344"/>
      <c r="D36" s="344"/>
      <c r="E36" s="344"/>
      <c r="F36" s="344"/>
      <c r="G36" s="344"/>
      <c r="H36" s="345" t="s">
        <v>69</v>
      </c>
      <c r="I36" s="345"/>
      <c r="J36" s="345"/>
    </row>
    <row r="37" ht="21.9975" customHeight="1">
      <c r="A37" s="343" t="s">
        <v>72</v>
      </c>
      <c r="B37" s="344" t="s">
        <v>73</v>
      </c>
      <c r="C37" s="344"/>
      <c r="D37" s="344"/>
      <c r="E37" s="344"/>
      <c r="F37" s="344"/>
      <c r="G37" s="344"/>
      <c r="H37" s="345" t="s">
        <v>69</v>
      </c>
      <c r="I37" s="345"/>
      <c r="J37" s="345"/>
    </row>
    <row r="38" ht="21.9975" customHeight="1">
      <c r="A38" s="343" t="s">
        <v>74</v>
      </c>
      <c r="B38" s="344" t="s">
        <v>75</v>
      </c>
      <c r="C38" s="344"/>
      <c r="D38" s="344"/>
      <c r="E38" s="344"/>
      <c r="F38" s="344"/>
      <c r="G38" s="344"/>
      <c r="H38" s="345" t="s">
        <v>69</v>
      </c>
      <c r="I38" s="345"/>
      <c r="J38" s="345"/>
    </row>
    <row r="39" ht="21.9975" customHeight="1">
      <c r="A39" s="343" t="s">
        <v>76</v>
      </c>
      <c r="B39" s="344" t="s">
        <v>77</v>
      </c>
      <c r="C39" s="344"/>
      <c r="D39" s="344"/>
      <c r="E39" s="344"/>
      <c r="F39" s="344"/>
      <c r="G39" s="344"/>
      <c r="H39" s="345" t="s">
        <v>69</v>
      </c>
      <c r="I39" s="345"/>
      <c r="J39" s="345"/>
    </row>
    <row r="40" ht="21.9975" customHeight="1">
      <c r="A40" s="343" t="s">
        <v>78</v>
      </c>
      <c r="B40" s="344" t="s">
        <v>79</v>
      </c>
      <c r="C40" s="344"/>
      <c r="D40" s="344"/>
      <c r="E40" s="344"/>
      <c r="F40" s="344"/>
      <c r="G40" s="344"/>
      <c r="H40" s="345" t="s">
        <v>69</v>
      </c>
      <c r="I40" s="345"/>
      <c r="J40" s="345"/>
    </row>
    <row r="41" ht="21.9975" customHeight="1">
      <c r="A41" s="343" t="s">
        <v>80</v>
      </c>
      <c r="B41" s="344" t="s">
        <v>81</v>
      </c>
      <c r="C41" s="344"/>
      <c r="D41" s="344"/>
      <c r="E41" s="344"/>
      <c r="F41" s="344"/>
      <c r="G41" s="344"/>
      <c r="H41" s="345" t="s">
        <v>69</v>
      </c>
      <c r="I41" s="345"/>
      <c r="J41" s="345"/>
    </row>
    <row r="42" ht="21.9975" customHeight="1">
      <c r="A42" s="343" t="s">
        <v>82</v>
      </c>
      <c r="B42" s="344" t="s">
        <v>83</v>
      </c>
      <c r="C42" s="344"/>
      <c r="D42" s="344"/>
      <c r="E42" s="344"/>
      <c r="F42" s="344"/>
      <c r="G42" s="344"/>
      <c r="H42" s="345" t="s">
        <v>69</v>
      </c>
      <c r="I42" s="345"/>
      <c r="J42" s="345"/>
    </row>
    <row r="43" ht="21.9975" customHeight="1">
      <c r="A43" s="343" t="s">
        <v>84</v>
      </c>
      <c r="B43" s="344" t="s">
        <v>85</v>
      </c>
      <c r="C43" s="344"/>
      <c r="D43" s="344"/>
      <c r="E43" s="344"/>
      <c r="F43" s="344"/>
      <c r="G43" s="344"/>
      <c r="H43" s="345" t="s">
        <v>69</v>
      </c>
      <c r="I43" s="345"/>
      <c r="J43" s="345"/>
    </row>
    <row r="44" ht="21.9975" customHeight="1">
      <c r="A44" s="343" t="s">
        <v>86</v>
      </c>
      <c r="B44" s="344" t="s">
        <v>87</v>
      </c>
      <c r="C44" s="344"/>
      <c r="D44" s="344"/>
      <c r="E44" s="344"/>
      <c r="F44" s="344"/>
      <c r="G44" s="344"/>
      <c r="H44" s="345" t="s">
        <v>69</v>
      </c>
      <c r="I44" s="345"/>
      <c r="J44" s="345"/>
    </row>
    <row r="45" ht="21.9975" customHeight="1">
      <c r="A45" s="343" t="s">
        <v>88</v>
      </c>
      <c r="B45" s="344" t="s">
        <v>89</v>
      </c>
      <c r="C45" s="344"/>
      <c r="D45" s="344"/>
      <c r="E45" s="344"/>
      <c r="F45" s="344"/>
      <c r="G45" s="344"/>
      <c r="H45" s="345" t="s">
        <v>69</v>
      </c>
      <c r="I45" s="345"/>
      <c r="J45" s="345"/>
    </row>
    <row r="46" ht="21.9975" customHeight="1">
      <c r="A46" s="343"/>
      <c r="B46" s="344"/>
      <c r="C46" s="344"/>
      <c r="D46" s="344"/>
      <c r="E46" s="344"/>
      <c r="F46" s="344"/>
      <c r="G46" s="344"/>
      <c r="H46" s="345"/>
      <c r="I46" s="345"/>
      <c r="J46" s="345"/>
    </row>
    <row r="48" ht="32" customHeight="1">
      <c r="A48" s="331" t="s">
        <v>90</v>
      </c>
      <c r="B48" s="331"/>
      <c r="C48" s="331"/>
      <c r="D48" s="331"/>
      <c r="E48" s="331"/>
      <c r="F48" s="331"/>
      <c r="G48" s="331"/>
      <c r="H48" s="331"/>
      <c r="I48" s="331"/>
      <c r="J48" s="331"/>
    </row>
    <row r="49" ht="25" customHeight="1">
      <c r="A49" s="342" t="s">
        <v>64</v>
      </c>
      <c r="B49" s="342" t="s">
        <v>91</v>
      </c>
      <c r="C49" s="342"/>
      <c r="D49" s="342" t="s">
        <v>92</v>
      </c>
      <c r="E49" s="342"/>
      <c r="F49" s="342"/>
      <c r="G49" s="342"/>
      <c r="H49" s="342"/>
      <c r="I49" s="342"/>
      <c r="J49" s="342"/>
    </row>
    <row r="50" ht="28" customHeight="1">
      <c r="A50" s="343" t="s">
        <v>67</v>
      </c>
      <c r="B50" s="346" t="s">
        <v>24</v>
      </c>
      <c r="C50" s="346"/>
      <c r="D50" s="347" t="s">
        <v>93</v>
      </c>
      <c r="E50" s="347"/>
      <c r="F50" s="347"/>
      <c r="G50" s="347"/>
      <c r="H50" s="347"/>
      <c r="I50" s="347"/>
      <c r="J50" s="347"/>
    </row>
    <row r="51" ht="28" customHeight="1">
      <c r="A51" s="343" t="s">
        <v>70</v>
      </c>
      <c r="B51" s="346" t="s">
        <v>55</v>
      </c>
      <c r="C51" s="346"/>
      <c r="D51" s="347" t="s">
        <v>94</v>
      </c>
      <c r="E51" s="347"/>
      <c r="F51" s="347"/>
      <c r="G51" s="347"/>
      <c r="H51" s="347"/>
      <c r="I51" s="347"/>
      <c r="J51" s="347"/>
    </row>
    <row r="52" ht="28" customHeight="1">
      <c r="A52" s="343" t="s">
        <v>72</v>
      </c>
      <c r="B52" s="346" t="s">
        <v>95</v>
      </c>
      <c r="C52" s="346"/>
      <c r="D52" s="347" t="s">
        <v>96</v>
      </c>
      <c r="E52" s="347"/>
      <c r="F52" s="347"/>
      <c r="G52" s="347"/>
      <c r="H52" s="347"/>
      <c r="I52" s="347"/>
      <c r="J52" s="347"/>
    </row>
    <row r="53" ht="28" customHeight="1">
      <c r="A53" s="343" t="s">
        <v>74</v>
      </c>
      <c r="B53" s="346" t="s">
        <v>97</v>
      </c>
      <c r="C53" s="346"/>
      <c r="D53" s="347" t="s">
        <v>98</v>
      </c>
      <c r="E53" s="347"/>
      <c r="F53" s="347"/>
      <c r="G53" s="347"/>
      <c r="H53" s="347"/>
      <c r="I53" s="347"/>
      <c r="J53" s="347"/>
    </row>
    <row r="54" ht="28" customHeight="1">
      <c r="A54" s="343" t="s">
        <v>76</v>
      </c>
      <c r="B54" s="346" t="s">
        <v>99</v>
      </c>
      <c r="C54" s="346"/>
      <c r="D54" s="347" t="s">
        <v>100</v>
      </c>
      <c r="E54" s="347"/>
      <c r="F54" s="347"/>
      <c r="G54" s="347"/>
      <c r="H54" s="347"/>
      <c r="I54" s="347"/>
      <c r="J54" s="347"/>
    </row>
    <row r="55" ht="28" customHeight="1">
      <c r="A55" s="343" t="s">
        <v>78</v>
      </c>
      <c r="B55" s="346" t="s">
        <v>101</v>
      </c>
      <c r="C55" s="346"/>
      <c r="D55" s="347" t="s">
        <v>102</v>
      </c>
      <c r="E55" s="347"/>
      <c r="F55" s="347"/>
      <c r="G55" s="347"/>
      <c r="H55" s="347"/>
      <c r="I55" s="347"/>
      <c r="J55" s="347"/>
    </row>
    <row r="56" ht="28" customHeight="1">
      <c r="A56" s="343" t="s">
        <v>80</v>
      </c>
      <c r="B56" s="346" t="s">
        <v>103</v>
      </c>
      <c r="C56" s="346"/>
      <c r="D56" s="347" t="s">
        <v>104</v>
      </c>
      <c r="E56" s="347"/>
      <c r="F56" s="347"/>
      <c r="G56" s="347"/>
      <c r="H56" s="347"/>
      <c r="I56" s="347"/>
      <c r="J56" s="347"/>
    </row>
    <row r="57" ht="28" customHeight="1">
      <c r="A57" s="343" t="s">
        <v>82</v>
      </c>
      <c r="B57" s="346" t="s">
        <v>105</v>
      </c>
      <c r="C57" s="346"/>
      <c r="D57" s="347" t="s">
        <v>106</v>
      </c>
      <c r="E57" s="347"/>
      <c r="F57" s="347"/>
      <c r="G57" s="347"/>
      <c r="H57" s="347"/>
      <c r="I57" s="347"/>
      <c r="J57" s="347"/>
    </row>
    <row r="58" ht="28" customHeight="1">
      <c r="A58" s="343" t="s">
        <v>84</v>
      </c>
      <c r="B58" s="346" t="s">
        <v>107</v>
      </c>
      <c r="C58" s="346"/>
      <c r="D58" s="347" t="s">
        <v>108</v>
      </c>
      <c r="E58" s="347"/>
      <c r="F58" s="347"/>
      <c r="G58" s="347"/>
      <c r="H58" s="347"/>
      <c r="I58" s="347"/>
      <c r="J58" s="347"/>
    </row>
  </sheetData>
  <mergeCells count="67">
    <mergeCell ref="D58:J58"/>
    <mergeCell ref="B51:C51"/>
    <mergeCell ref="B37:G37"/>
    <mergeCell ref="A12:J12"/>
    <mergeCell ref="B49:C49"/>
    <mergeCell ref="A33:J33"/>
    <mergeCell ref="B45:G45"/>
    <mergeCell ref="A7:J7"/>
    <mergeCell ref="A8:B8"/>
    <mergeCell ref="D53:J53"/>
    <mergeCell ref="B54:C54"/>
    <mergeCell ref="A18:J18"/>
    <mergeCell ref="H44:J44"/>
    <mergeCell ref="H42:J42"/>
    <mergeCell ref="D49:J49"/>
    <mergeCell ref="H37:J37"/>
    <mergeCell ref="B58:C58"/>
    <mergeCell ref="H36:J36"/>
    <mergeCell ref="B39:G39"/>
    <mergeCell ref="A28:J28"/>
    <mergeCell ref="H41:J41"/>
    <mergeCell ref="D56:J56"/>
    <mergeCell ref="A29:J29"/>
    <mergeCell ref="A24:J24"/>
    <mergeCell ref="D51:J51"/>
    <mergeCell ref="B44:G44"/>
    <mergeCell ref="B41:G41"/>
    <mergeCell ref="D54:J54"/>
    <mergeCell ref="A5:J5"/>
    <mergeCell ref="A1:J1"/>
    <mergeCell ref="B43:G43"/>
    <mergeCell ref="B40:G40"/>
    <mergeCell ref="B35:G35"/>
    <mergeCell ref="A23:J23"/>
    <mergeCell ref="H46:J46"/>
    <mergeCell ref="A19:J19"/>
    <mergeCell ref="H45:J45"/>
    <mergeCell ref="B46:G46"/>
    <mergeCell ref="B34:G34"/>
    <mergeCell ref="C8:J8"/>
    <mergeCell ref="C10:J10"/>
    <mergeCell ref="B50:C50"/>
    <mergeCell ref="B57:C57"/>
    <mergeCell ref="D50:J50"/>
    <mergeCell ref="D57:J57"/>
    <mergeCell ref="B36:G36"/>
    <mergeCell ref="A14:J14"/>
    <mergeCell ref="A9:B9"/>
    <mergeCell ref="D52:J52"/>
    <mergeCell ref="B42:G42"/>
    <mergeCell ref="H38:J38"/>
    <mergeCell ref="A2:J2"/>
    <mergeCell ref="H39:J39"/>
    <mergeCell ref="A48:J48"/>
    <mergeCell ref="D55:J55"/>
    <mergeCell ref="B53:C53"/>
    <mergeCell ref="B52:C52"/>
    <mergeCell ref="C9:J9"/>
    <mergeCell ref="H43:J43"/>
    <mergeCell ref="B56:C56"/>
    <mergeCell ref="B38:G38"/>
    <mergeCell ref="H40:J40"/>
    <mergeCell ref="A4:J4"/>
    <mergeCell ref="H34:J34"/>
    <mergeCell ref="H35:J35"/>
    <mergeCell ref="B55:C55"/>
    <mergeCell ref="A10:B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D99694"/>
    <outlinePr summaryBelow="0" summaryRight="0"/>
  </sheetPr>
  <dimension ref="A1"/>
  <sheetViews>
    <sheetView workbookViewId="0">
      <pane topLeftCell="A2" activePane="bottomRight" state="frozen" ySplit="1"/>
    </sheetView>
  </sheetViews>
  <sheetFormatPr baseColWidth="10" defaultColWidth="9" defaultRowHeight="20.0025" customHeight="1"/>
  <cols>
    <col min="1" max="1" width="4.998046875" customWidth="1" style="245"/>
    <col min="2" max="2" width="13.998046875" customWidth="1" style="245"/>
    <col min="3" max="3" width="15.9990234375" customWidth="1" style="245"/>
    <col min="4" max="4" width="13.998046875" customWidth="1" style="245"/>
    <col min="5" max="5" width="19.998046875" customWidth="1" style="245"/>
    <col min="6" max="6" width="17.666015625" customWidth="1" style="245"/>
    <col min="7" max="7" width="12.83203125" customWidth="1" style="245"/>
    <col min="8" max="8" width="20.666015625" customWidth="1" style="245"/>
    <col min="9" max="9" width="14.4990234375" customWidth="1" style="245"/>
    <col min="10" max="10" width="15.1640625" customWidth="1" style="245"/>
    <col min="11" max="11" width="19.998046875" customWidth="1" style="245"/>
  </cols>
  <sheetData>
    <row r="1" ht="45" customHeight="1">
      <c r="A1" s="246" t="s">
        <v>109</v>
      </c>
      <c r="B1" s="247"/>
      <c r="C1" s="247"/>
      <c r="D1" s="247"/>
      <c r="E1" s="247"/>
      <c r="F1" s="247"/>
      <c r="G1" s="247"/>
      <c r="H1" s="247"/>
      <c r="I1" s="247"/>
      <c r="J1" s="247"/>
      <c r="K1" s="248"/>
    </row>
    <row r="2" ht="20.0025" customHeight="1">
      <c r="A2" s="249"/>
      <c r="K2" s="250"/>
    </row>
    <row r="3" ht="28" customHeight="1">
      <c r="A3" s="251" t="s">
        <v>13</v>
      </c>
      <c r="B3" s="252"/>
      <c r="C3" s="252"/>
      <c r="D3" s="252"/>
      <c r="E3" s="252"/>
      <c r="F3" s="252"/>
      <c r="G3" s="252"/>
      <c r="H3" s="252"/>
      <c r="I3" s="252"/>
      <c r="J3" s="252"/>
      <c r="K3" s="253"/>
    </row>
    <row r="4" ht="25" customHeight="1">
      <c r="A4" s="254" t="s">
        <v>110</v>
      </c>
      <c r="B4" s="255"/>
      <c r="C4" s="255"/>
      <c r="D4" s="256" t="s">
        <v>111</v>
      </c>
      <c r="E4" s="256"/>
      <c r="F4" s="256"/>
      <c r="G4" s="255" t="s">
        <v>112</v>
      </c>
      <c r="H4" s="255"/>
      <c r="I4" s="256" t="s">
        <v>113</v>
      </c>
      <c r="J4" s="256"/>
      <c r="K4" s="257"/>
    </row>
    <row r="5" ht="25" customHeight="1">
      <c r="A5" s="254" t="s">
        <v>114</v>
      </c>
      <c r="B5" s="255"/>
      <c r="C5" s="255"/>
      <c r="D5" s="256" t="s">
        <v>115</v>
      </c>
      <c r="E5" s="256"/>
      <c r="F5" s="256"/>
      <c r="G5" s="255" t="s">
        <v>116</v>
      </c>
      <c r="H5" s="255"/>
      <c r="I5" s="256" t="s">
        <v>117</v>
      </c>
      <c r="J5" s="256"/>
      <c r="K5" s="257"/>
    </row>
    <row r="6" ht="25" customHeight="1">
      <c r="A6" s="254" t="s">
        <v>118</v>
      </c>
      <c r="B6" s="255"/>
      <c r="C6" s="255"/>
      <c r="D6" s="256" t="s">
        <v>119</v>
      </c>
      <c r="E6" s="256"/>
      <c r="F6" s="256"/>
      <c r="G6" s="255" t="s">
        <v>120</v>
      </c>
      <c r="H6" s="255"/>
      <c r="I6" s="256" t="s">
        <v>121</v>
      </c>
      <c r="J6" s="256"/>
      <c r="K6" s="256"/>
    </row>
    <row r="7" ht="25" customHeight="1">
      <c r="A7" s="254" t="s">
        <v>122</v>
      </c>
      <c r="B7" s="255"/>
      <c r="C7" s="255"/>
      <c r="D7" s="256" t="n">
        <v>30</v>
      </c>
      <c r="E7" s="256"/>
      <c r="F7" s="256"/>
      <c r="G7" s="255" t="s">
        <v>123</v>
      </c>
      <c r="H7" s="255"/>
      <c r="I7" s="319" t="n">
        <v>46365</v>
      </c>
      <c r="J7" s="256"/>
      <c r="K7" s="257"/>
    </row>
    <row r="8" ht="25" customHeight="1">
      <c r="A8" s="254" t="s">
        <v>24</v>
      </c>
      <c r="B8" s="255"/>
      <c r="C8" s="255"/>
      <c r="D8" s="256" t="s">
        <v>124</v>
      </c>
      <c r="E8" s="256"/>
      <c r="F8" s="256"/>
      <c r="G8" s="255" t="s">
        <v>55</v>
      </c>
      <c r="H8" s="255"/>
      <c r="I8" s="256" t="s">
        <v>125</v>
      </c>
      <c r="J8" s="256"/>
      <c r="K8" s="257"/>
    </row>
    <row r="9" ht="180" customHeight="1">
      <c r="A9" s="254" t="s">
        <v>126</v>
      </c>
      <c r="B9" s="255"/>
      <c r="C9" s="255"/>
      <c r="D9" s="350" t="s">
        <v>127</v>
      </c>
      <c r="E9" s="351"/>
      <c r="F9" s="351"/>
      <c r="G9" s="351"/>
      <c r="H9" s="351"/>
      <c r="I9" s="351"/>
      <c r="J9" s="351"/>
      <c r="K9" s="352"/>
    </row>
    <row r="10" ht="25" customHeight="1">
      <c r="A10" s="254" t="s">
        <v>128</v>
      </c>
      <c r="B10" s="255"/>
      <c r="C10" s="255"/>
      <c r="D10" s="256" t="s">
        <v>129</v>
      </c>
      <c r="E10" s="256"/>
      <c r="F10" s="256"/>
      <c r="G10" s="255" t="s">
        <v>130</v>
      </c>
      <c r="H10" s="255"/>
      <c r="I10" s="256" t="s">
        <v>129</v>
      </c>
      <c r="J10" s="256"/>
      <c r="K10" s="257"/>
    </row>
    <row r="11" ht="25" customHeight="1">
      <c r="A11" s="254" t="s">
        <v>131</v>
      </c>
      <c r="B11" s="255"/>
      <c r="C11" s="255"/>
      <c r="D11" s="256" t="n">
        <v>3.13</v>
      </c>
      <c r="E11" s="256"/>
      <c r="F11" s="256"/>
      <c r="G11" s="255" t="s">
        <v>132</v>
      </c>
      <c r="H11" s="255"/>
      <c r="I11" s="256" t="s">
        <v>133</v>
      </c>
      <c r="J11" s="256"/>
      <c r="K11" s="257"/>
    </row>
    <row r="12" ht="20.0025" customHeight="1">
      <c r="A12" s="249"/>
      <c r="K12" s="250"/>
    </row>
    <row r="13" ht="28" customHeight="1">
      <c r="A13" s="251" t="s">
        <v>134</v>
      </c>
      <c r="B13" s="252"/>
      <c r="C13" s="252"/>
      <c r="D13" s="252"/>
      <c r="E13" s="252"/>
      <c r="F13" s="252"/>
      <c r="G13" s="252"/>
      <c r="H13" s="252"/>
      <c r="I13" s="252"/>
      <c r="J13" s="252"/>
      <c r="K13" s="253"/>
    </row>
    <row r="14" ht="45" customHeight="1">
      <c r="A14" s="285" t="s">
        <v>64</v>
      </c>
      <c r="B14" s="459" t="s">
        <v>135</v>
      </c>
      <c r="C14" s="286" t="s">
        <v>136</v>
      </c>
      <c r="D14" s="286" t="s">
        <v>137</v>
      </c>
      <c r="E14" s="460" t="s">
        <v>138</v>
      </c>
      <c r="F14" s="461" t="s">
        <v>139</v>
      </c>
      <c r="G14" s="286"/>
      <c r="H14" s="462" t="s">
        <v>140</v>
      </c>
      <c r="I14" s="463" t="s">
        <v>141</v>
      </c>
      <c r="J14" s="286" t="s">
        <v>142</v>
      </c>
      <c r="K14" s="464" t="s">
        <v>143</v>
      </c>
    </row>
    <row r="15" ht="20.0025" customHeight="1">
      <c r="A15" s="287" t="s">
        <v>13</v>
      </c>
      <c r="B15" s="288" t="s">
        <v>13</v>
      </c>
      <c r="C15" s="288" t="s">
        <v>13</v>
      </c>
      <c r="D15" s="288" t="s">
        <v>13</v>
      </c>
      <c r="E15" s="288" t="s">
        <v>13</v>
      </c>
      <c r="F15" s="288" t="s">
        <v>13</v>
      </c>
      <c r="G15" s="288"/>
      <c r="H15" s="288" t="s">
        <v>13</v>
      </c>
      <c r="I15" s="288" t="s">
        <v>144</v>
      </c>
      <c r="J15" s="288" t="s">
        <v>144</v>
      </c>
      <c r="K15" s="289" t="s">
        <v>144</v>
      </c>
    </row>
    <row r="16" ht="35" customHeight="1">
      <c r="A16" s="290" t="n">
        <v>1</v>
      </c>
      <c r="B16" s="291" t="s">
        <v>145</v>
      </c>
      <c r="C16" s="292" t="s">
        <v>146</v>
      </c>
      <c r="D16" s="293" t="s">
        <v>13</v>
      </c>
      <c r="E16" s="294" t="s">
        <v>147</v>
      </c>
      <c r="F16" s="295" t="s">
        <v>148</v>
      </c>
      <c r="G16" s="295"/>
      <c r="H16" s="296" t="s">
        <v>149</v>
      </c>
      <c r="I16" s="297" t="s">
        <v>150</v>
      </c>
      <c r="J16" s="298" t="s">
        <v>151</v>
      </c>
      <c r="K16" s="299" t="s">
        <v>152</v>
      </c>
    </row>
    <row r="17" ht="35" customHeight="1">
      <c r="A17" s="290" t="n">
        <v>2</v>
      </c>
      <c r="B17" s="291" t="s">
        <v>145</v>
      </c>
      <c r="C17" s="292" t="s">
        <v>153</v>
      </c>
      <c r="D17" s="293" t="s">
        <v>154</v>
      </c>
      <c r="E17" s="294" t="s">
        <v>155</v>
      </c>
      <c r="F17" s="295" t="s">
        <v>156</v>
      </c>
      <c r="G17" s="295"/>
      <c r="H17" s="296" t="s">
        <v>13</v>
      </c>
      <c r="I17" s="297" t="s">
        <v>150</v>
      </c>
      <c r="J17" s="298" t="s">
        <v>157</v>
      </c>
      <c r="K17" s="299" t="s">
        <v>152</v>
      </c>
    </row>
    <row r="18" ht="35" customHeight="1">
      <c r="A18" s="290" t="n">
        <v>3</v>
      </c>
      <c r="B18" s="291" t="s">
        <v>158</v>
      </c>
      <c r="C18" s="292" t="s">
        <v>159</v>
      </c>
      <c r="D18" s="293" t="s">
        <v>160</v>
      </c>
      <c r="E18" s="294" t="s">
        <v>161</v>
      </c>
      <c r="F18" s="295" t="s">
        <v>162</v>
      </c>
      <c r="G18" s="295"/>
      <c r="H18" s="296" t="s">
        <v>13</v>
      </c>
      <c r="I18" s="297" t="s">
        <v>150</v>
      </c>
      <c r="J18" s="298" t="s">
        <v>163</v>
      </c>
      <c r="K18" s="299" t="s">
        <v>164</v>
      </c>
    </row>
    <row r="19" s="245" customFormat="1" ht="35" customHeight="1">
      <c r="A19" s="290" t="n">
        <v>4</v>
      </c>
      <c r="B19" s="291" t="s">
        <v>165</v>
      </c>
      <c r="C19" s="292" t="s">
        <v>166</v>
      </c>
      <c r="D19" s="293" t="s">
        <v>13</v>
      </c>
      <c r="E19" s="294" t="s">
        <v>13</v>
      </c>
      <c r="F19" s="295" t="s">
        <v>167</v>
      </c>
      <c r="G19" s="295"/>
      <c r="H19" s="296" t="s">
        <v>13</v>
      </c>
      <c r="I19" s="297" t="s">
        <v>150</v>
      </c>
      <c r="J19" s="298" t="s">
        <v>163</v>
      </c>
      <c r="K19" s="299" t="s">
        <v>164</v>
      </c>
    </row>
    <row r="20" s="245" customFormat="1" ht="103.25" customHeight="1">
      <c r="A20" s="320" t="n">
        <v>5</v>
      </c>
      <c r="B20" s="321" t="s">
        <v>168</v>
      </c>
      <c r="C20" s="322" t="s">
        <v>169</v>
      </c>
      <c r="D20" s="323" t="s">
        <v>170</v>
      </c>
      <c r="E20" s="324" t="s">
        <v>171</v>
      </c>
      <c r="F20" s="325" t="s">
        <v>172</v>
      </c>
      <c r="G20" s="325"/>
      <c r="H20" s="465" t="s">
        <v>173</v>
      </c>
      <c r="I20" s="326" t="s">
        <v>150</v>
      </c>
      <c r="J20" s="327" t="s">
        <v>174</v>
      </c>
      <c r="K20" s="328" t="s">
        <v>175</v>
      </c>
    </row>
  </sheetData>
  <mergeCells count="40">
    <mergeCell ref="G5:H5"/>
    <mergeCell ref="G7:H7"/>
    <mergeCell ref="I4:K4"/>
    <mergeCell ref="I7:K7"/>
    <mergeCell ref="F16:G16"/>
    <mergeCell ref="A13:K13"/>
    <mergeCell ref="D6:F6"/>
    <mergeCell ref="G11:H11"/>
    <mergeCell ref="F19:G19"/>
    <mergeCell ref="D10:F10"/>
    <mergeCell ref="G6:H6"/>
    <mergeCell ref="A6:C6"/>
    <mergeCell ref="F15:G15"/>
    <mergeCell ref="D7:F7"/>
    <mergeCell ref="I8:K8"/>
    <mergeCell ref="D4:F4"/>
    <mergeCell ref="F14:G14"/>
    <mergeCell ref="A1:K1"/>
    <mergeCell ref="I6:K6"/>
    <mergeCell ref="A11:C11"/>
    <mergeCell ref="F17:G17"/>
    <mergeCell ref="A7:C7"/>
    <mergeCell ref="D11:F11"/>
    <mergeCell ref="I11:K11"/>
    <mergeCell ref="G4:H4"/>
    <mergeCell ref="A10:C10"/>
    <mergeCell ref="D9:K9"/>
    <mergeCell ref="A9:C9"/>
    <mergeCell ref="F18:G18"/>
    <mergeCell ref="A8:C8"/>
    <mergeCell ref="I5:K5"/>
    <mergeCell ref="G8:H8"/>
    <mergeCell ref="D5:F5"/>
    <mergeCell ref="A3:K3"/>
    <mergeCell ref="A4:C4"/>
    <mergeCell ref="A5:C5"/>
    <mergeCell ref="F20:G20"/>
    <mergeCell ref="I10:K10"/>
    <mergeCell ref="G10:H10"/>
    <mergeCell ref="D8:F8"/>
  </mergeCells>
  <phoneticPr fontId="1" type="noConversion"/>
  <dataValidations count="3">
    <dataValidation type="list" allowBlank="1" showInputMessage="1" showErrorMessage="1" sqref="D6:F6">
      <formula1>"G1 / B2 / G2（请选择）,G1,G2,B2"</formula1>
    </dataValidation>
    <dataValidation type="list" allowBlank="1" showInputMessage="1" showErrorMessage="1" sqref="I6:K6">
      <formula1>"请选择,华南营销处,华北营销处-区域,华北营销处-渠道"</formula1>
    </dataValidation>
    <dataValidation type="list" allowBlank="1" sqref="I16:I20">
      <formula1>"绿灯,黄灯,红灯"</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D99694"/>
    <outlinePr summaryBelow="0" summaryRight="0"/>
  </sheetPr>
  <dimension ref="A1"/>
  <sheetViews>
    <sheetView workbookViewId="0" tabSelected="1" zoomScale="90" zoomScaleNormal="90">
      <pane topLeftCell="A2" activePane="bottomRight" state="frozen" ySplit="1"/>
    </sheetView>
  </sheetViews>
  <sheetFormatPr baseColWidth="10" defaultColWidth="9" defaultRowHeight="20.0025" customHeight="1"/>
  <cols>
    <col min="1" max="1" width="6.498046875" customWidth="1" style="245"/>
    <col min="2" max="2" width="14.8740234375" customWidth="1" style="245"/>
    <col min="3" max="3" width="21" customWidth="1" style="245"/>
    <col min="4" max="4" width="13.998046875" customWidth="1" style="245"/>
    <col min="5" max="5" width="19.998046875" customWidth="1" style="245"/>
    <col min="6" max="6" width="27.9990234375" customWidth="1" style="245"/>
    <col min="7" max="7" width="9.1640625" customWidth="1" style="245"/>
    <col min="8" max="8" width="27.9990234375" customWidth="1" style="245"/>
    <col min="9" max="9" width="19.998046875" customWidth="1" style="245"/>
    <col min="10" max="10" width="30.873046875" customWidth="1" style="245"/>
    <col min="11" max="11" width="19.998046875" customWidth="1" style="245"/>
  </cols>
  <sheetData>
    <row r="1" ht="45" customHeight="1">
      <c r="A1" s="301" t="s">
        <v>176</v>
      </c>
      <c r="B1" s="301"/>
      <c r="C1" s="301"/>
      <c r="D1" s="301"/>
      <c r="E1" s="301"/>
      <c r="F1" s="301"/>
      <c r="G1" s="301"/>
      <c r="H1" s="301"/>
      <c r="I1" s="301"/>
      <c r="J1" s="301"/>
      <c r="K1" s="301"/>
    </row>
    <row r="3" ht="28" customHeight="1">
      <c r="A3" s="252" t="s">
        <v>177</v>
      </c>
      <c r="B3" s="252"/>
      <c r="C3" s="252"/>
      <c r="D3" s="252"/>
      <c r="E3" s="252"/>
      <c r="F3" s="252"/>
      <c r="G3" s="252"/>
      <c r="H3" s="252"/>
      <c r="I3" s="252"/>
      <c r="J3" s="252"/>
      <c r="K3" s="252"/>
    </row>
    <row r="4" ht="25" customHeight="1">
      <c r="A4" s="254" t="s">
        <v>110</v>
      </c>
      <c r="B4" s="255"/>
      <c r="C4" s="255"/>
      <c r="D4" s="256" t="s">
        <v>111</v>
      </c>
      <c r="E4" s="256"/>
      <c r="F4" s="256"/>
      <c r="G4" s="255" t="s">
        <v>112</v>
      </c>
      <c r="H4" s="255"/>
      <c r="I4" s="256" t="s">
        <v>113</v>
      </c>
      <c r="J4" s="256"/>
      <c r="K4" s="256"/>
    </row>
    <row r="5" ht="25" customHeight="1">
      <c r="A5" s="254" t="s">
        <v>116</v>
      </c>
      <c r="B5" s="255"/>
      <c r="C5" s="255"/>
      <c r="D5" s="256" t="s">
        <v>178</v>
      </c>
      <c r="E5" s="256"/>
      <c r="F5" s="256"/>
      <c r="G5" s="255" t="s">
        <v>120</v>
      </c>
      <c r="H5" s="255"/>
      <c r="I5" s="256" t="s">
        <v>121</v>
      </c>
      <c r="J5" s="256"/>
      <c r="K5" s="256"/>
    </row>
    <row r="6" ht="25" customHeight="1">
      <c r="A6" s="254" t="s">
        <v>118</v>
      </c>
      <c r="B6" s="255"/>
      <c r="C6" s="255"/>
      <c r="D6" s="256" t="s">
        <v>119</v>
      </c>
      <c r="E6" s="256"/>
      <c r="F6" s="256"/>
      <c r="G6" s="255" t="s">
        <v>114</v>
      </c>
      <c r="H6" s="255"/>
      <c r="I6" s="256" t="s">
        <v>115</v>
      </c>
      <c r="J6" s="256"/>
      <c r="K6" s="256"/>
    </row>
    <row r="7" ht="25" customHeight="1">
      <c r="A7" s="254" t="s">
        <v>24</v>
      </c>
      <c r="B7" s="255"/>
      <c r="C7" s="255"/>
      <c r="D7" s="256" t="s">
        <f>'附1-预算表'!F2</f>
        <v>124</v>
      </c>
      <c r="E7" s="256"/>
      <c r="F7" s="256"/>
      <c r="G7" s="255" t="s">
        <v>55</v>
      </c>
      <c r="H7" s="255"/>
      <c r="I7" s="256" t="s">
        <f>'附1-预算表'!H2</f>
        <v>125</v>
      </c>
      <c r="J7" s="256"/>
      <c r="K7" s="256"/>
    </row>
    <row r="8" ht="25" customHeight="1">
      <c r="A8" s="254" t="s">
        <v>122</v>
      </c>
      <c r="B8" s="255"/>
      <c r="C8" s="255"/>
      <c r="D8" s="256" t="n">
        <v>35</v>
      </c>
      <c r="E8" s="256"/>
      <c r="F8" s="256"/>
      <c r="G8" s="255" t="s">
        <v>123</v>
      </c>
      <c r="H8" s="255"/>
      <c r="I8" s="319" t="n">
        <v>46315</v>
      </c>
      <c r="J8" s="302"/>
      <c r="K8" s="302"/>
    </row>
    <row r="9" ht="25" customHeight="1">
      <c r="A9" s="255" t="s">
        <v>179</v>
      </c>
      <c r="B9" s="255"/>
      <c r="C9" s="255"/>
      <c r="D9" s="303" t="n">
        <f>'附1-预算表'!H8</f>
        <v>0.150832377714284</v>
      </c>
      <c r="E9" s="303"/>
      <c r="F9" s="303"/>
      <c r="G9" s="255" t="s">
        <v>180</v>
      </c>
      <c r="H9" s="255"/>
      <c r="I9" s="256" t="n">
        <v>2.8</v>
      </c>
      <c r="J9" s="256"/>
      <c r="K9" s="256"/>
    </row>
    <row r="10" s="245" customFormat="1" ht="25" customHeight="1">
      <c r="A10" s="255" t="s">
        <v>181</v>
      </c>
      <c r="B10" s="255"/>
      <c r="C10" s="255"/>
      <c r="D10" s="256" t="s">
        <v>182</v>
      </c>
      <c r="E10" s="256"/>
      <c r="F10" s="256"/>
      <c r="G10" s="255" t="s">
        <v>183</v>
      </c>
      <c r="H10" s="255"/>
      <c r="I10" s="256" t="s">
        <v>129</v>
      </c>
      <c r="J10" s="256"/>
      <c r="K10" s="256"/>
    </row>
    <row r="11" ht="107.11764705882354" customHeight="1">
      <c r="A11" s="255" t="s">
        <v>126</v>
      </c>
      <c r="B11" s="255"/>
      <c r="C11" s="255"/>
      <c r="D11" s="466" t="s">
        <v>184</v>
      </c>
      <c r="E11" s="278"/>
      <c r="F11" s="278"/>
      <c r="G11" s="278"/>
      <c r="H11" s="278"/>
      <c r="I11" s="278"/>
      <c r="J11" s="278"/>
      <c r="K11" s="278"/>
    </row>
    <row r="12" ht="25" customHeight="1">
      <c r="A12" s="255" t="s">
        <v>185</v>
      </c>
      <c r="B12" s="255"/>
      <c r="C12" s="255"/>
      <c r="D12" s="304" t="s">
        <v>186</v>
      </c>
      <c r="E12" s="305"/>
      <c r="F12" s="305"/>
      <c r="G12" s="305"/>
      <c r="H12" s="305"/>
      <c r="I12" s="305"/>
      <c r="J12" s="305"/>
      <c r="K12" s="305"/>
    </row>
    <row r="13" ht="25" customHeight="1">
      <c r="A13" s="255" t="s">
        <v>128</v>
      </c>
      <c r="B13" s="255"/>
      <c r="C13" s="255"/>
      <c r="D13" s="256" t="s">
        <v>129</v>
      </c>
      <c r="E13" s="256"/>
      <c r="F13" s="256"/>
      <c r="G13" s="255" t="s">
        <v>187</v>
      </c>
      <c r="H13" s="255"/>
      <c r="I13" s="256" t="s">
        <v>129</v>
      </c>
      <c r="J13" s="256"/>
      <c r="K13" s="256"/>
    </row>
    <row r="14" ht="25" customHeight="1">
      <c r="A14" s="432" t="s">
        <v>188</v>
      </c>
      <c r="B14" s="432"/>
      <c r="C14" s="432"/>
      <c r="D14" s="256" t="s">
        <v>129</v>
      </c>
      <c r="E14" s="256"/>
      <c r="F14" s="256"/>
      <c r="G14" s="307"/>
      <c r="H14" s="307"/>
      <c r="I14" s="308"/>
      <c r="J14" s="308"/>
      <c r="K14" s="308"/>
    </row>
    <row r="15" ht="25" customHeight="1">
      <c r="A15" s="255" t="s">
        <v>189</v>
      </c>
      <c r="B15" s="255"/>
      <c r="C15" s="255"/>
      <c r="D15" s="256" t="n">
        <v>5</v>
      </c>
      <c r="E15" s="256"/>
      <c r="F15" s="256"/>
      <c r="G15" s="255" t="s">
        <v>190</v>
      </c>
      <c r="H15" s="255"/>
      <c r="I15" s="256" t="n">
        <v>5</v>
      </c>
      <c r="J15" s="256"/>
      <c r="K15" s="256"/>
    </row>
    <row r="16" s="245" customFormat="1" ht="25" customHeight="1">
      <c r="A16" s="255" t="s">
        <v>191</v>
      </c>
      <c r="B16" s="255"/>
      <c r="C16" s="255"/>
      <c r="D16" s="256" t="n">
        <v>0</v>
      </c>
      <c r="E16" s="256"/>
      <c r="F16" s="256"/>
      <c r="G16" s="255" t="s">
        <v>192</v>
      </c>
      <c r="H16" s="255"/>
      <c r="I16" s="256" t="s">
        <v>129</v>
      </c>
      <c r="J16" s="256"/>
      <c r="K16" s="256"/>
    </row>
    <row r="17" s="245" customFormat="1" ht="25" customHeight="1">
      <c r="A17" s="255" t="s">
        <v>193</v>
      </c>
      <c r="B17" s="255"/>
      <c r="C17" s="255"/>
      <c r="D17" s="256" t="s">
        <v>194</v>
      </c>
      <c r="E17" s="256"/>
      <c r="F17" s="256"/>
      <c r="G17" s="255" t="s">
        <v>195</v>
      </c>
      <c r="H17" s="255"/>
      <c r="I17" s="256"/>
      <c r="J17" s="256"/>
      <c r="K17" s="256"/>
    </row>
    <row r="18" s="245" customFormat="1" ht="25" customHeight="1">
      <c r="A18" s="255" t="s">
        <v>196</v>
      </c>
      <c r="B18" s="255"/>
      <c r="C18" s="255"/>
      <c r="D18" s="256" t="s">
        <v>197</v>
      </c>
      <c r="E18" s="256"/>
      <c r="F18" s="256"/>
      <c r="G18" s="255" t="s">
        <v>198</v>
      </c>
      <c r="H18" s="255"/>
      <c r="I18" s="256" t="s">
        <v>199</v>
      </c>
      <c r="J18" s="256"/>
      <c r="K18" s="256"/>
    </row>
    <row r="19" ht="38.5" customHeight="1">
      <c r="A19" s="255" t="s">
        <v>200</v>
      </c>
      <c r="B19" s="255"/>
      <c r="C19" s="255"/>
      <c r="D19" s="433" t="s">
        <v>201</v>
      </c>
      <c r="E19" s="434"/>
      <c r="F19" s="434"/>
      <c r="G19" s="434"/>
      <c r="H19" s="434"/>
      <c r="I19" s="434"/>
      <c r="J19" s="434"/>
      <c r="K19" s="434"/>
    </row>
    <row r="20" s="245" customFormat="1" ht="25" customHeight="1">
      <c r="A20" s="255" t="s">
        <v>202</v>
      </c>
      <c r="B20" s="255"/>
      <c r="C20" s="255"/>
      <c r="D20" s="256" t="s">
        <v>203</v>
      </c>
      <c r="E20" s="256"/>
      <c r="F20" s="256"/>
      <c r="G20" s="255" t="s">
        <v>204</v>
      </c>
      <c r="H20" s="255"/>
      <c r="I20" s="256" t="s">
        <v>205</v>
      </c>
      <c r="J20" s="256"/>
      <c r="K20" s="256"/>
    </row>
    <row r="21" ht="25" customHeight="1">
      <c r="A21" s="255" t="s">
        <v>206</v>
      </c>
      <c r="B21" s="255"/>
      <c r="C21" s="255"/>
      <c r="D21" s="256" t="s">
        <v>129</v>
      </c>
      <c r="E21" s="256"/>
      <c r="F21" s="256"/>
      <c r="G21" s="255" t="s">
        <v>207</v>
      </c>
      <c r="H21" s="255"/>
      <c r="I21" s="256" t="s">
        <v>129</v>
      </c>
      <c r="J21" s="256"/>
      <c r="K21" s="256"/>
    </row>
    <row r="22" s="245" customFormat="1" ht="25" customHeight="1">
      <c r="A22" s="255" t="s">
        <v>208</v>
      </c>
      <c r="B22" s="255"/>
      <c r="C22" s="255"/>
      <c r="D22" s="256" t="s">
        <v>129</v>
      </c>
      <c r="E22" s="256"/>
      <c r="F22" s="256"/>
      <c r="G22" s="255" t="s">
        <v>209</v>
      </c>
      <c r="H22" s="255"/>
      <c r="I22" s="256" t="s">
        <v>129</v>
      </c>
      <c r="J22" s="256"/>
      <c r="K22" s="256"/>
    </row>
    <row r="23" ht="25" customHeight="1">
      <c r="A23" s="255" t="s">
        <v>210</v>
      </c>
      <c r="B23" s="255"/>
      <c r="C23" s="255"/>
      <c r="D23" s="256" t="s">
        <v>129</v>
      </c>
      <c r="E23" s="256"/>
      <c r="F23" s="256"/>
      <c r="G23" s="255" t="s">
        <v>211</v>
      </c>
      <c r="H23" s="255"/>
      <c r="I23" s="256" t="s">
        <v>129</v>
      </c>
      <c r="J23" s="256"/>
      <c r="K23" s="256"/>
    </row>
    <row r="24" ht="20.0025" customHeight="1">
      <c r="A24" s="306" t="s">
        <v>212</v>
      </c>
      <c r="B24" s="306"/>
      <c r="C24" s="306"/>
      <c r="D24" s="308" t="s">
        <v>213</v>
      </c>
      <c r="E24" s="308"/>
      <c r="F24" s="308"/>
      <c r="G24" s="307" t="s">
        <v>214</v>
      </c>
      <c r="H24" s="307"/>
      <c r="I24" s="308" t="s">
        <v>215</v>
      </c>
      <c r="J24" s="308"/>
      <c r="K24" s="308"/>
    </row>
    <row r="25" ht="20.0025" customHeight="1">
      <c r="A25" s="306" t="s">
        <v>216</v>
      </c>
      <c r="B25" s="306"/>
      <c r="C25" s="306"/>
      <c r="D25" s="308" t="s">
        <v>217</v>
      </c>
      <c r="E25" s="308"/>
      <c r="F25" s="308"/>
      <c r="G25" s="307" t="s">
        <v>218</v>
      </c>
      <c r="H25" s="307"/>
      <c r="I25" s="308" t="s">
        <v>219</v>
      </c>
      <c r="J25" s="308"/>
      <c r="K25" s="308"/>
    </row>
    <row r="26" ht="20.0025" customHeight="1">
      <c r="A26" s="306" t="s">
        <v>220</v>
      </c>
      <c r="B26" s="306"/>
      <c r="C26" s="306"/>
      <c r="D26" s="256" t="s">
        <v>129</v>
      </c>
      <c r="E26" s="256"/>
      <c r="F26" s="256"/>
      <c r="G26" s="307"/>
      <c r="H26" s="307"/>
      <c r="I26" s="308"/>
      <c r="J26" s="308"/>
      <c r="K26" s="308"/>
    </row>
    <row r="27" ht="20.0025" customHeight="1">
      <c r="A27" s="306" t="s">
        <v>221</v>
      </c>
      <c r="B27" s="306"/>
      <c r="C27" s="306"/>
      <c r="D27" s="309" t="s">
        <v>222</v>
      </c>
      <c r="E27" s="309"/>
      <c r="F27" s="309"/>
      <c r="G27" s="309"/>
      <c r="H27" s="309"/>
      <c r="I27" s="309"/>
      <c r="J27" s="309"/>
      <c r="K27" s="309"/>
    </row>
    <row r="28" ht="20.0025" customHeight="1">
      <c r="A28" s="306" t="s">
        <v>223</v>
      </c>
      <c r="B28" s="306"/>
      <c r="C28" s="306"/>
      <c r="D28" s="309" t="s">
        <v>224</v>
      </c>
      <c r="E28" s="309"/>
      <c r="F28" s="309"/>
      <c r="G28" s="309"/>
      <c r="H28" s="309"/>
      <c r="I28" s="309"/>
      <c r="J28" s="309"/>
      <c r="K28" s="309"/>
    </row>
    <row r="29" ht="20.0025" customHeight="1">
      <c r="A29" s="306" t="s">
        <v>225</v>
      </c>
      <c r="B29" s="306"/>
      <c r="C29" s="306"/>
      <c r="D29" s="309" t="s">
        <v>226</v>
      </c>
      <c r="E29" s="309"/>
      <c r="F29" s="309"/>
      <c r="G29" s="309"/>
      <c r="H29" s="309"/>
      <c r="I29" s="309"/>
      <c r="J29" s="309"/>
      <c r="K29" s="309"/>
    </row>
    <row r="31" ht="28" customHeight="1">
      <c r="A31" s="436" t="s">
        <v>134</v>
      </c>
      <c r="B31" s="435"/>
      <c r="C31" s="435"/>
      <c r="D31" s="435"/>
      <c r="E31" s="435"/>
      <c r="F31" s="435"/>
      <c r="G31" s="435"/>
      <c r="H31" s="435"/>
      <c r="I31" s="435"/>
      <c r="J31" s="435"/>
      <c r="K31" s="437"/>
    </row>
    <row r="32" ht="45" customHeight="1">
      <c r="A32" s="285" t="s">
        <v>64</v>
      </c>
      <c r="B32" s="467" t="s">
        <v>135</v>
      </c>
      <c r="C32" s="286" t="s">
        <v>136</v>
      </c>
      <c r="D32" s="286" t="s">
        <v>137</v>
      </c>
      <c r="E32" s="468" t="s">
        <v>138</v>
      </c>
      <c r="F32" s="469" t="s">
        <v>139</v>
      </c>
      <c r="G32" s="286"/>
      <c r="H32" s="470" t="s">
        <v>140</v>
      </c>
      <c r="I32" s="471" t="s">
        <v>141</v>
      </c>
      <c r="J32" s="286" t="s">
        <v>142</v>
      </c>
      <c r="K32" s="472" t="s">
        <v>143</v>
      </c>
    </row>
    <row r="33" ht="20.0025" customHeight="1">
      <c r="A33" s="287" t="s">
        <v>13</v>
      </c>
      <c r="B33" s="288" t="s">
        <v>13</v>
      </c>
      <c r="C33" s="288" t="s">
        <v>13</v>
      </c>
      <c r="D33" s="288" t="s">
        <v>13</v>
      </c>
      <c r="E33" s="288" t="s">
        <v>13</v>
      </c>
      <c r="F33" s="288" t="s">
        <v>13</v>
      </c>
      <c r="G33" s="288"/>
      <c r="H33" s="288" t="s">
        <v>13</v>
      </c>
      <c r="I33" s="288" t="s">
        <v>144</v>
      </c>
      <c r="J33" s="288" t="s">
        <v>144</v>
      </c>
      <c r="K33" s="289" t="s">
        <v>144</v>
      </c>
    </row>
    <row r="34" ht="70.74999999999999" customHeight="1">
      <c r="A34" s="310" t="n">
        <v>1</v>
      </c>
      <c r="B34" s="291" t="s">
        <v>227</v>
      </c>
      <c r="C34" s="292" t="s">
        <v>228</v>
      </c>
      <c r="D34" s="293" t="s">
        <v>229</v>
      </c>
      <c r="E34" s="294" t="s">
        <v>230</v>
      </c>
      <c r="F34" s="295" t="s">
        <v>231</v>
      </c>
      <c r="G34" s="295"/>
      <c r="H34" s="296" t="s">
        <v>13</v>
      </c>
      <c r="I34" s="297" t="s">
        <v>150</v>
      </c>
      <c r="J34" s="316" t="s">
        <v>232</v>
      </c>
      <c r="K34" s="317" t="s">
        <v>233</v>
      </c>
    </row>
    <row r="35" ht="35" customHeight="1">
      <c r="A35" s="310" t="n">
        <v>2</v>
      </c>
      <c r="B35" s="291" t="s">
        <v>145</v>
      </c>
      <c r="C35" s="292" t="s">
        <v>146</v>
      </c>
      <c r="D35" s="293" t="s">
        <v>13</v>
      </c>
      <c r="E35" s="294" t="s">
        <v>147</v>
      </c>
      <c r="F35" s="295" t="s">
        <v>234</v>
      </c>
      <c r="G35" s="295"/>
      <c r="H35" s="296" t="s">
        <v>149</v>
      </c>
      <c r="I35" s="297" t="s">
        <v>150</v>
      </c>
      <c r="J35" s="298" t="s">
        <v>235</v>
      </c>
      <c r="K35" s="317" t="s">
        <v>95</v>
      </c>
    </row>
    <row r="36" ht="39" customHeight="1">
      <c r="A36" s="310" t="n">
        <v>3</v>
      </c>
      <c r="B36" s="311" t="s">
        <v>168</v>
      </c>
      <c r="C36" s="292" t="s">
        <v>236</v>
      </c>
      <c r="D36" s="293" t="s">
        <v>237</v>
      </c>
      <c r="E36" s="294" t="s">
        <v>238</v>
      </c>
      <c r="F36" s="295" t="s">
        <v>239</v>
      </c>
      <c r="G36" s="295"/>
      <c r="H36" s="296"/>
      <c r="I36" s="297" t="s">
        <v>150</v>
      </c>
      <c r="J36" s="298" t="s">
        <v>13</v>
      </c>
      <c r="K36" s="317" t="s">
        <v>97</v>
      </c>
    </row>
    <row r="37" ht="63" customHeight="1">
      <c r="A37" s="310" t="n">
        <v>4</v>
      </c>
      <c r="B37" s="311" t="s">
        <v>168</v>
      </c>
      <c r="C37" s="292" t="s">
        <v>240</v>
      </c>
      <c r="D37" s="293" t="s">
        <v>241</v>
      </c>
      <c r="E37" s="473" t="s">
        <v>242</v>
      </c>
      <c r="F37" s="295" t="s">
        <v>243</v>
      </c>
      <c r="G37" s="295"/>
      <c r="H37" s="296" t="s">
        <v>244</v>
      </c>
      <c r="I37" s="297" t="s">
        <v>150</v>
      </c>
      <c r="J37" s="298" t="s">
        <v>13</v>
      </c>
      <c r="K37" s="317" t="s">
        <v>97</v>
      </c>
    </row>
    <row r="38" ht="35" customHeight="1">
      <c r="A38" s="310" t="n">
        <v>5</v>
      </c>
      <c r="B38" s="311" t="s">
        <v>168</v>
      </c>
      <c r="C38" s="292" t="s">
        <v>245</v>
      </c>
      <c r="D38" s="293" t="s">
        <v>246</v>
      </c>
      <c r="E38" s="294" t="s">
        <v>247</v>
      </c>
      <c r="F38" s="295" t="s">
        <v>248</v>
      </c>
      <c r="G38" s="295"/>
      <c r="H38" s="296"/>
      <c r="I38" s="297" t="s">
        <v>150</v>
      </c>
      <c r="J38" s="298" t="s">
        <v>13</v>
      </c>
      <c r="K38" s="317" t="s">
        <v>97</v>
      </c>
    </row>
    <row r="39" ht="196.5" customHeight="1">
      <c r="A39" s="310" t="n">
        <v>6</v>
      </c>
      <c r="B39" s="311" t="s">
        <v>168</v>
      </c>
      <c r="C39" s="292" t="s">
        <v>200</v>
      </c>
      <c r="D39" s="293" t="s">
        <v>13</v>
      </c>
      <c r="E39" s="474" t="s">
        <v>249</v>
      </c>
      <c r="F39" s="475" t="s">
        <v>250</v>
      </c>
      <c r="G39" s="295"/>
      <c r="H39" s="476" t="s">
        <v>251</v>
      </c>
      <c r="I39" s="297" t="s">
        <v>150</v>
      </c>
      <c r="J39" s="477" t="s">
        <v>252</v>
      </c>
      <c r="K39" s="317" t="s">
        <v>97</v>
      </c>
    </row>
    <row r="40" ht="122" customHeight="1">
      <c r="A40" s="310" t="n">
        <v>7</v>
      </c>
      <c r="B40" s="311" t="s">
        <v>101</v>
      </c>
      <c r="C40" s="292" t="s">
        <v>253</v>
      </c>
      <c r="D40" s="293" t="s">
        <v>254</v>
      </c>
      <c r="E40" s="478" t="s">
        <v>255</v>
      </c>
      <c r="F40" s="479" t="s">
        <v>256</v>
      </c>
      <c r="G40" s="295"/>
      <c r="H40" s="480" t="s">
        <v>257</v>
      </c>
      <c r="I40" s="297" t="s">
        <v>150</v>
      </c>
      <c r="J40" s="481" t="s">
        <v>258</v>
      </c>
      <c r="K40" s="317" t="s">
        <v>101</v>
      </c>
    </row>
    <row r="41" ht="35" customHeight="1">
      <c r="A41" s="310" t="n">
        <v>8</v>
      </c>
      <c r="B41" s="311" t="s">
        <v>101</v>
      </c>
      <c r="C41" s="292" t="s">
        <v>259</v>
      </c>
      <c r="D41" s="293" t="s">
        <v>260</v>
      </c>
      <c r="E41" s="294" t="s">
        <v>261</v>
      </c>
      <c r="F41" s="295" t="s">
        <v>262</v>
      </c>
      <c r="G41" s="295"/>
      <c r="H41" s="296" t="s">
        <v>263</v>
      </c>
      <c r="I41" s="297" t="s">
        <v>150</v>
      </c>
      <c r="J41" s="298" t="s">
        <v>163</v>
      </c>
      <c r="K41" s="317" t="s">
        <v>101</v>
      </c>
    </row>
    <row r="42" ht="44.5" customHeight="1">
      <c r="A42" s="310" t="n">
        <v>9</v>
      </c>
      <c r="B42" s="311" t="s">
        <v>158</v>
      </c>
      <c r="C42" s="312" t="s">
        <v>264</v>
      </c>
      <c r="D42" s="313" t="s">
        <v>265</v>
      </c>
      <c r="E42" s="482" t="s">
        <v>266</v>
      </c>
      <c r="F42" s="483" t="s">
        <v>267</v>
      </c>
      <c r="G42" s="314"/>
      <c r="H42" s="315" t="s">
        <v>268</v>
      </c>
      <c r="I42" s="297" t="s">
        <v>150</v>
      </c>
      <c r="J42" s="316" t="s">
        <v>269</v>
      </c>
      <c r="K42" s="317" t="s">
        <v>158</v>
      </c>
    </row>
    <row r="43" ht="29.7525" customHeight="1">
      <c r="A43" s="320" t="n">
        <v>10</v>
      </c>
      <c r="B43" s="321" t="s">
        <v>270</v>
      </c>
      <c r="C43" s="318" t="s">
        <v>271</v>
      </c>
      <c r="D43" s="323"/>
      <c r="E43" s="324" t="s">
        <v>272</v>
      </c>
      <c r="F43" s="325" t="s">
        <v>273</v>
      </c>
      <c r="G43" s="325"/>
      <c r="H43" s="389" t="s">
        <v>274</v>
      </c>
      <c r="I43" s="326" t="s">
        <v>150</v>
      </c>
      <c r="J43" s="327" t="s">
        <v>275</v>
      </c>
      <c r="K43" s="328" t="s">
        <v>276</v>
      </c>
    </row>
  </sheetData>
  <mergeCells count="107">
    <mergeCell ref="A1:K1"/>
    <mergeCell ref="I6:K6"/>
    <mergeCell ref="I24:K24"/>
    <mergeCell ref="D14:F14"/>
    <mergeCell ref="F35:G35"/>
    <mergeCell ref="I8:K8"/>
    <mergeCell ref="D12:K12"/>
    <mergeCell ref="A14:C14"/>
    <mergeCell ref="G8:H8"/>
    <mergeCell ref="G7:H7"/>
    <mergeCell ref="D4:F4"/>
    <mergeCell ref="G13:H13"/>
    <mergeCell ref="F40:G40"/>
    <mergeCell ref="A10:C10"/>
    <mergeCell ref="A18:C18"/>
    <mergeCell ref="D15:F15"/>
    <mergeCell ref="A27:C27"/>
    <mergeCell ref="F41:G41"/>
    <mergeCell ref="F43:G43"/>
    <mergeCell ref="G23:H23"/>
    <mergeCell ref="I21:K21"/>
    <mergeCell ref="D8:F8"/>
    <mergeCell ref="A23:C23"/>
    <mergeCell ref="G20:H20"/>
    <mergeCell ref="A20:C20"/>
    <mergeCell ref="A5:C5"/>
    <mergeCell ref="A31:K31"/>
    <mergeCell ref="D21:F21"/>
    <mergeCell ref="G16:H16"/>
    <mergeCell ref="I18:K18"/>
    <mergeCell ref="A7:C7"/>
    <mergeCell ref="D9:F9"/>
    <mergeCell ref="G24:H24"/>
    <mergeCell ref="A15:C15"/>
    <mergeCell ref="F36:G36"/>
    <mergeCell ref="A9:C9"/>
    <mergeCell ref="A3:K3"/>
    <mergeCell ref="I7:K7"/>
    <mergeCell ref="A12:C12"/>
    <mergeCell ref="A19:C19"/>
    <mergeCell ref="I16:K16"/>
    <mergeCell ref="D5:F5"/>
    <mergeCell ref="D19:K19"/>
    <mergeCell ref="G15:H15"/>
    <mergeCell ref="I10:K10"/>
    <mergeCell ref="I14:K14"/>
    <mergeCell ref="F37:G37"/>
    <mergeCell ref="I15:K15"/>
    <mergeCell ref="F34:G34"/>
    <mergeCell ref="A6:C6"/>
    <mergeCell ref="G6:H6"/>
    <mergeCell ref="I26:K26"/>
    <mergeCell ref="A25:C25"/>
    <mergeCell ref="D11:K11"/>
    <mergeCell ref="F42:G42"/>
    <mergeCell ref="G26:H26"/>
    <mergeCell ref="I5:K5"/>
    <mergeCell ref="A13:C13"/>
    <mergeCell ref="A22:C22"/>
    <mergeCell ref="D29:K29"/>
    <mergeCell ref="G9:H9"/>
    <mergeCell ref="F38:G38"/>
    <mergeCell ref="D7:F7"/>
    <mergeCell ref="D22:F22"/>
    <mergeCell ref="G10:H10"/>
    <mergeCell ref="A11:C11"/>
    <mergeCell ref="D13:F13"/>
    <mergeCell ref="I20:K20"/>
    <mergeCell ref="I23:K23"/>
    <mergeCell ref="D16:F16"/>
    <mergeCell ref="I25:K25"/>
    <mergeCell ref="D25:F25"/>
    <mergeCell ref="D26:F26"/>
    <mergeCell ref="G21:H21"/>
    <mergeCell ref="G5:H5"/>
    <mergeCell ref="D17:F17"/>
    <mergeCell ref="G22:H22"/>
    <mergeCell ref="G25:H25"/>
    <mergeCell ref="G14:H14"/>
    <mergeCell ref="A26:C26"/>
    <mergeCell ref="F39:G39"/>
    <mergeCell ref="D27:K27"/>
    <mergeCell ref="I22:K22"/>
    <mergeCell ref="G4:H4"/>
    <mergeCell ref="A29:C29"/>
    <mergeCell ref="I9:K9"/>
    <mergeCell ref="I13:K13"/>
    <mergeCell ref="A16:C16"/>
    <mergeCell ref="A17:C17"/>
    <mergeCell ref="A4:C4"/>
    <mergeCell ref="D20:F20"/>
    <mergeCell ref="D10:F10"/>
    <mergeCell ref="G17:H17"/>
    <mergeCell ref="G18:H18"/>
    <mergeCell ref="F32:G32"/>
    <mergeCell ref="F33:G33"/>
    <mergeCell ref="A21:C21"/>
    <mergeCell ref="D24:F24"/>
    <mergeCell ref="A24:C24"/>
    <mergeCell ref="A28:C28"/>
    <mergeCell ref="D18:F18"/>
    <mergeCell ref="D28:K28"/>
    <mergeCell ref="D23:F23"/>
    <mergeCell ref="D6:F6"/>
    <mergeCell ref="A8:C8"/>
    <mergeCell ref="I17:K17"/>
    <mergeCell ref="I4:K4"/>
  </mergeCells>
  <phoneticPr fontId="1" type="noConversion"/>
  <dataValidations count="7">
    <dataValidation type="list" allowBlank="1" showInputMessage="1" showErrorMessage="1" sqref="I5:K5">
      <formula1>"请选择,华南营销处,华北营销处-区域,华北营销处-渠道"</formula1>
    </dataValidation>
    <dataValidation type="list" allowBlank="1" showInputMessage="1" showErrorMessage="1" sqref="D17:F17">
      <formula1>"无/内部/外部/均包含,无,内部,外部,内外兼有"</formula1>
    </dataValidation>
    <dataValidation type="list" allowBlank="1" showInputMessage="1" showErrorMessage="1" sqref="D20:F20">
      <formula1>"请选择,回款+验收=均非背靠背,仅回款背靠背,仅验收背靠背,回款+验收=全部背靠背,已知回款背靠背，验收条款未知,尚未确定"</formula1>
    </dataValidation>
    <dataValidation type="list" allowBlank="1" showInputMessage="1" showErrorMessage="1" sqref="D13:F13 I13:K13 D14:F14">
      <formula1>"是 / 否（请选择）,是,否"</formula1>
    </dataValidation>
    <dataValidation type="list" allowBlank="1" showInputMessage="1" showErrorMessage="1" sqref="D6:F6">
      <formula1>"G1 / B2 / G2（请选择）,G1,G2,B2"</formula1>
    </dataValidation>
    <dataValidation type="list" allowBlank="1" sqref="I42 I43 I35:I41">
      <formula1>"绿灯,黄灯,红灯"</formula1>
    </dataValidation>
    <dataValidation type="list" allowBlank="1" showInputMessage="1" showErrorMessage="1" sqref="D18:F18 I34">
      <formula1>"请选择,银行转账,银行承兑汇票（3个月内到期）,银行承兑汇票（超3个月到期）,商业承兑汇票"</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D99694"/>
    <outlinePr summaryBelow="0" summaryRight="0"/>
  </sheetPr>
  <dimension ref="A1"/>
  <sheetViews>
    <sheetView workbookViewId="0">
      <pane topLeftCell="A2" activePane="bottomRight" state="frozen" ySplit="1"/>
    </sheetView>
  </sheetViews>
  <sheetFormatPr baseColWidth="10" defaultColWidth="9" defaultRowHeight="20.0025" customHeight="1"/>
  <cols>
    <col min="1" max="1" width="4.998046875" customWidth="1" style="245"/>
    <col min="2" max="2" width="13.998046875" customWidth="1" style="245"/>
    <col min="3" max="3" width="15.9990234375" customWidth="1" style="245"/>
    <col min="4" max="4" width="13.998046875" customWidth="1" style="245"/>
    <col min="5" max="5" width="25.6640625" customWidth="1" style="245"/>
    <col min="6" max="6" width="21.6650390625" customWidth="1" style="245"/>
    <col min="7" max="7" width="24.83203125" customWidth="1" style="245"/>
    <col min="8" max="8" width="27.9990234375" customWidth="1" style="245"/>
    <col min="9" max="9" width="19.998046875" customWidth="1" style="245"/>
    <col min="10" max="10" width="12" customWidth="1" style="245"/>
    <col min="11" max="11" width="19.998046875" customWidth="1" style="245"/>
  </cols>
  <sheetData>
    <row r="1" ht="45" customHeight="1">
      <c r="A1" s="246" t="s">
        <v>277</v>
      </c>
      <c r="B1" s="247"/>
      <c r="C1" s="247"/>
      <c r="D1" s="247"/>
      <c r="E1" s="247"/>
      <c r="F1" s="247"/>
      <c r="G1" s="247"/>
      <c r="H1" s="247"/>
      <c r="I1" s="247"/>
      <c r="J1" s="247"/>
      <c r="K1" s="248"/>
    </row>
    <row r="2" ht="20.0025" customHeight="1">
      <c r="A2" s="249"/>
      <c r="K2" s="250"/>
    </row>
    <row r="3" ht="28" customHeight="1">
      <c r="A3" s="251" t="s">
        <v>278</v>
      </c>
      <c r="B3" s="252"/>
      <c r="C3" s="252"/>
      <c r="D3" s="252"/>
      <c r="E3" s="252"/>
      <c r="F3" s="252"/>
      <c r="G3" s="252"/>
      <c r="H3" s="252"/>
      <c r="I3" s="252"/>
      <c r="J3" s="252"/>
      <c r="K3" s="253"/>
    </row>
    <row r="4" ht="25" customHeight="1">
      <c r="A4" s="254" t="s">
        <v>279</v>
      </c>
      <c r="B4" s="255"/>
      <c r="C4" s="255"/>
      <c r="D4" s="256" t="s">
        <v>13</v>
      </c>
      <c r="E4" s="256"/>
      <c r="F4" s="256"/>
      <c r="G4" s="255" t="s">
        <v>280</v>
      </c>
      <c r="H4" s="255"/>
      <c r="I4" s="256" t="s">
        <v>13</v>
      </c>
      <c r="J4" s="256"/>
      <c r="K4" s="257"/>
    </row>
    <row r="5" ht="25" customHeight="1">
      <c r="A5" s="254" t="s">
        <v>24</v>
      </c>
      <c r="B5" s="255"/>
      <c r="C5" s="255"/>
      <c r="D5" s="256" t="s">
        <v>13</v>
      </c>
      <c r="E5" s="256"/>
      <c r="F5" s="256"/>
      <c r="G5" s="255" t="s">
        <v>55</v>
      </c>
      <c r="H5" s="255"/>
      <c r="I5" s="256" t="s">
        <v>13</v>
      </c>
      <c r="J5" s="256"/>
      <c r="K5" s="257"/>
    </row>
    <row r="6" ht="25" customHeight="1">
      <c r="A6" s="254" t="s">
        <v>118</v>
      </c>
      <c r="B6" s="255"/>
      <c r="C6" s="255"/>
      <c r="D6" s="256" t="s">
        <v>281</v>
      </c>
      <c r="E6" s="256"/>
      <c r="F6" s="256"/>
      <c r="G6" s="255" t="s">
        <v>120</v>
      </c>
      <c r="H6" s="255"/>
      <c r="I6" s="256" t="s">
        <v>217</v>
      </c>
      <c r="J6" s="256"/>
      <c r="K6" s="256"/>
    </row>
    <row r="7" s="245" customFormat="1" ht="25" customHeight="1">
      <c r="A7" s="254" t="s">
        <v>282</v>
      </c>
      <c r="B7" s="255"/>
      <c r="C7" s="255"/>
      <c r="D7" s="256"/>
      <c r="E7" s="256"/>
      <c r="F7" s="256"/>
      <c r="G7" s="255" t="s">
        <v>283</v>
      </c>
      <c r="H7" s="255"/>
      <c r="I7" s="256" t="s">
        <v>217</v>
      </c>
      <c r="J7" s="256"/>
      <c r="K7" s="257"/>
    </row>
    <row r="8" s="245" customFormat="1" ht="25" customHeight="1">
      <c r="A8" s="254" t="s">
        <v>284</v>
      </c>
      <c r="B8" s="255"/>
      <c r="C8" s="255"/>
      <c r="D8" s="256" t="s">
        <v>13</v>
      </c>
      <c r="E8" s="256"/>
      <c r="F8" s="256"/>
      <c r="G8" s="255" t="s">
        <v>285</v>
      </c>
      <c r="H8" s="255"/>
      <c r="I8" s="256" t="s">
        <v>13</v>
      </c>
      <c r="J8" s="256"/>
      <c r="K8" s="257"/>
    </row>
    <row r="9" ht="25" customHeight="1">
      <c r="A9" s="254" t="s">
        <v>286</v>
      </c>
      <c r="B9" s="255"/>
      <c r="C9" s="255"/>
      <c r="D9" s="258" t="s">
        <v>217</v>
      </c>
      <c r="E9" s="259"/>
      <c r="F9" s="259"/>
      <c r="G9" s="259"/>
      <c r="H9" s="259"/>
      <c r="I9" s="259"/>
      <c r="J9" s="259"/>
      <c r="K9" s="260"/>
    </row>
    <row r="10" ht="50" customHeight="1">
      <c r="A10" s="261" t="s">
        <v>287</v>
      </c>
      <c r="B10" s="262"/>
      <c r="C10" s="262"/>
      <c r="D10" s="263" t="s">
        <v>13</v>
      </c>
      <c r="E10" s="264"/>
      <c r="F10" s="264"/>
      <c r="G10" s="264"/>
      <c r="H10" s="264"/>
      <c r="I10" s="264"/>
      <c r="J10" s="264"/>
      <c r="K10" s="265"/>
    </row>
    <row r="11" ht="23" customHeight="1">
      <c r="A11" s="266" t="s">
        <v>288</v>
      </c>
      <c r="B11" s="267"/>
      <c r="C11" s="267"/>
      <c r="D11" s="267"/>
      <c r="E11" s="267"/>
      <c r="F11" s="267"/>
      <c r="G11" s="267"/>
      <c r="H11" s="267"/>
      <c r="I11" s="267"/>
      <c r="J11" s="267"/>
      <c r="K11" s="268"/>
    </row>
    <row r="12" ht="25" customHeight="1">
      <c r="A12" s="269" t="s">
        <v>289</v>
      </c>
      <c r="B12" s="270"/>
      <c r="C12" s="270"/>
      <c r="D12" s="271" t="s">
        <v>13</v>
      </c>
      <c r="E12" s="272"/>
      <c r="F12" s="273"/>
      <c r="G12" s="274" t="s">
        <v>290</v>
      </c>
      <c r="H12" s="275"/>
      <c r="I12" s="271" t="s">
        <v>13</v>
      </c>
      <c r="J12" s="272"/>
      <c r="K12" s="276"/>
    </row>
    <row r="13" ht="25" customHeight="1">
      <c r="A13" s="269" t="s">
        <v>291</v>
      </c>
      <c r="B13" s="270"/>
      <c r="C13" s="270"/>
      <c r="D13" s="271"/>
      <c r="E13" s="272"/>
      <c r="F13" s="273"/>
      <c r="G13" s="274" t="s">
        <v>292</v>
      </c>
      <c r="H13" s="275"/>
      <c r="I13" s="271"/>
      <c r="J13" s="272"/>
      <c r="K13" s="276"/>
    </row>
    <row r="14" ht="25" customHeight="1">
      <c r="A14" s="269" t="s">
        <v>293</v>
      </c>
      <c r="B14" s="270"/>
      <c r="C14" s="270"/>
      <c r="D14" s="271"/>
      <c r="E14" s="272"/>
      <c r="F14" s="273"/>
      <c r="G14" s="274" t="s">
        <v>294</v>
      </c>
      <c r="H14" s="275"/>
      <c r="I14" s="271"/>
      <c r="J14" s="272"/>
      <c r="K14" s="276"/>
    </row>
    <row r="15" s="245" customFormat="1" ht="25" customHeight="1">
      <c r="A15" s="269" t="s">
        <v>295</v>
      </c>
      <c r="B15" s="270"/>
      <c r="C15" s="270"/>
      <c r="D15" s="271"/>
      <c r="E15" s="272"/>
      <c r="F15" s="273"/>
      <c r="G15" s="274" t="s">
        <v>296</v>
      </c>
      <c r="H15" s="275"/>
      <c r="I15" s="271"/>
      <c r="J15" s="272"/>
      <c r="K15" s="276"/>
    </row>
    <row r="16" s="245" customFormat="1" ht="32" customHeight="1">
      <c r="A16" s="269" t="s">
        <v>297</v>
      </c>
      <c r="B16" s="270"/>
      <c r="C16" s="270"/>
      <c r="D16" s="277" t="s">
        <v>298</v>
      </c>
      <c r="E16" s="278"/>
      <c r="F16" s="278"/>
      <c r="G16" s="278"/>
      <c r="H16" s="278"/>
      <c r="I16" s="278"/>
      <c r="J16" s="278"/>
      <c r="K16" s="279"/>
    </row>
    <row r="17" s="245" customFormat="1" ht="32" customHeight="1">
      <c r="A17" s="269" t="s">
        <v>299</v>
      </c>
      <c r="B17" s="270"/>
      <c r="C17" s="270"/>
      <c r="D17" s="277" t="s">
        <v>298</v>
      </c>
      <c r="E17" s="278"/>
      <c r="F17" s="278"/>
      <c r="G17" s="278"/>
      <c r="H17" s="278"/>
      <c r="I17" s="278"/>
      <c r="J17" s="278"/>
      <c r="K17" s="279"/>
    </row>
    <row r="18" ht="25" customHeight="1">
      <c r="A18" s="280" t="s">
        <v>300</v>
      </c>
      <c r="B18" s="281"/>
      <c r="C18" s="281"/>
      <c r="D18" s="282" t="s">
        <v>298</v>
      </c>
      <c r="E18" s="283"/>
      <c r="F18" s="283"/>
      <c r="G18" s="283"/>
      <c r="H18" s="283"/>
      <c r="I18" s="283"/>
      <c r="J18" s="283"/>
      <c r="K18" s="284"/>
    </row>
    <row r="19" ht="20.0025" customHeight="1">
      <c r="A19" s="249"/>
      <c r="K19" s="250"/>
    </row>
    <row r="20" ht="28" customHeight="1">
      <c r="A20" s="251" t="s">
        <v>134</v>
      </c>
      <c r="B20" s="252"/>
      <c r="C20" s="252"/>
      <c r="D20" s="252"/>
      <c r="E20" s="252"/>
      <c r="F20" s="252"/>
      <c r="G20" s="252"/>
      <c r="H20" s="252"/>
      <c r="I20" s="252"/>
      <c r="J20" s="252"/>
      <c r="K20" s="253"/>
    </row>
    <row r="21" ht="45" customHeight="1">
      <c r="A21" s="285" t="s">
        <v>64</v>
      </c>
      <c r="B21" s="484" t="s">
        <v>135</v>
      </c>
      <c r="C21" s="286" t="s">
        <v>136</v>
      </c>
      <c r="D21" s="286" t="s">
        <v>137</v>
      </c>
      <c r="E21" s="485" t="s">
        <v>138</v>
      </c>
      <c r="F21" s="486" t="s">
        <v>139</v>
      </c>
      <c r="G21" s="286"/>
      <c r="H21" s="487" t="s">
        <v>140</v>
      </c>
      <c r="I21" s="488" t="s">
        <v>141</v>
      </c>
      <c r="J21" s="286" t="s">
        <v>142</v>
      </c>
      <c r="K21" s="489" t="s">
        <v>143</v>
      </c>
    </row>
    <row r="22" ht="20.0025" customHeight="1">
      <c r="A22" s="287" t="s">
        <v>13</v>
      </c>
      <c r="B22" s="288" t="s">
        <v>13</v>
      </c>
      <c r="C22" s="288" t="s">
        <v>13</v>
      </c>
      <c r="D22" s="288" t="s">
        <v>13</v>
      </c>
      <c r="E22" s="288" t="s">
        <v>13</v>
      </c>
      <c r="F22" s="288" t="s">
        <v>13</v>
      </c>
      <c r="G22" s="288"/>
      <c r="H22" s="288" t="s">
        <v>13</v>
      </c>
      <c r="I22" s="288" t="s">
        <v>144</v>
      </c>
      <c r="J22" s="288" t="s">
        <v>144</v>
      </c>
      <c r="K22" s="289" t="s">
        <v>144</v>
      </c>
    </row>
    <row r="23" ht="35" customHeight="1">
      <c r="A23" s="290" t="n">
        <v>1</v>
      </c>
      <c r="B23" s="291" t="s">
        <v>145</v>
      </c>
      <c r="C23" s="292" t="s">
        <v>146</v>
      </c>
      <c r="D23" s="293" t="s">
        <v>13</v>
      </c>
      <c r="E23" s="294" t="s">
        <v>147</v>
      </c>
      <c r="F23" s="295" t="s">
        <v>234</v>
      </c>
      <c r="G23" s="295"/>
      <c r="H23" s="296" t="s">
        <v>149</v>
      </c>
      <c r="I23" s="297" t="s">
        <v>13</v>
      </c>
      <c r="J23" s="298" t="s">
        <v>13</v>
      </c>
      <c r="K23" s="299" t="s">
        <v>95</v>
      </c>
    </row>
    <row r="24" s="245" customFormat="1" ht="61" customHeight="1">
      <c r="A24" s="290" t="n">
        <v>2</v>
      </c>
      <c r="B24" s="291" t="s">
        <v>227</v>
      </c>
      <c r="C24" s="292" t="s">
        <v>228</v>
      </c>
      <c r="D24" s="293" t="s">
        <v>229</v>
      </c>
      <c r="E24" s="294" t="s">
        <v>230</v>
      </c>
      <c r="F24" s="295" t="s">
        <v>231</v>
      </c>
      <c r="G24" s="295"/>
      <c r="H24" s="296" t="s">
        <v>13</v>
      </c>
      <c r="I24" s="297" t="s">
        <v>13</v>
      </c>
      <c r="J24" s="298" t="s">
        <v>13</v>
      </c>
      <c r="K24" s="300" t="s">
        <v>233</v>
      </c>
    </row>
    <row r="25" ht="40" customHeight="1">
      <c r="A25" s="290" t="n">
        <v>3</v>
      </c>
      <c r="B25" s="291" t="s">
        <v>301</v>
      </c>
      <c r="C25" s="292" t="s">
        <v>302</v>
      </c>
      <c r="D25" s="293" t="s">
        <v>13</v>
      </c>
      <c r="E25" s="294" t="s">
        <v>303</v>
      </c>
      <c r="F25" s="295" t="s">
        <v>304</v>
      </c>
      <c r="G25" s="295"/>
      <c r="H25" s="296" t="s">
        <v>13</v>
      </c>
      <c r="I25" s="297" t="s">
        <v>13</v>
      </c>
      <c r="J25" s="298" t="s">
        <v>13</v>
      </c>
      <c r="K25" s="299" t="s">
        <v>305</v>
      </c>
    </row>
    <row r="26" ht="35" customHeight="1">
      <c r="A26" s="290" t="n">
        <v>4</v>
      </c>
      <c r="B26" s="291" t="s">
        <v>168</v>
      </c>
      <c r="C26" s="292" t="s">
        <v>306</v>
      </c>
      <c r="D26" s="293" t="s">
        <v>13</v>
      </c>
      <c r="E26" s="294" t="s">
        <v>307</v>
      </c>
      <c r="F26" s="490" t="s">
        <v>308</v>
      </c>
      <c r="G26" s="295"/>
      <c r="H26" s="296" t="s">
        <v>13</v>
      </c>
      <c r="I26" s="297" t="s">
        <v>13</v>
      </c>
      <c r="J26" s="298" t="s">
        <v>13</v>
      </c>
      <c r="K26" s="299" t="s">
        <v>97</v>
      </c>
    </row>
  </sheetData>
  <mergeCells count="56">
    <mergeCell ref="A18:C18"/>
    <mergeCell ref="I4:K4"/>
    <mergeCell ref="D14:F14"/>
    <mergeCell ref="A4:C4"/>
    <mergeCell ref="G15:H15"/>
    <mergeCell ref="F23:G23"/>
    <mergeCell ref="G14:H14"/>
    <mergeCell ref="G8:H8"/>
    <mergeCell ref="A14:C14"/>
    <mergeCell ref="G6:H6"/>
    <mergeCell ref="F26:G26"/>
    <mergeCell ref="A11:K11"/>
    <mergeCell ref="D6:F6"/>
    <mergeCell ref="G4:H4"/>
    <mergeCell ref="D7:F7"/>
    <mergeCell ref="F21:G21"/>
    <mergeCell ref="D16:K16"/>
    <mergeCell ref="D12:F12"/>
    <mergeCell ref="D5:F5"/>
    <mergeCell ref="D4:F4"/>
    <mergeCell ref="F24:G24"/>
    <mergeCell ref="D8:F8"/>
    <mergeCell ref="A17:C17"/>
    <mergeCell ref="A8:C8"/>
    <mergeCell ref="D13:F13"/>
    <mergeCell ref="D17:K17"/>
    <mergeCell ref="G13:H13"/>
    <mergeCell ref="G7:H7"/>
    <mergeCell ref="A3:K3"/>
    <mergeCell ref="F25:G25"/>
    <mergeCell ref="A5:C5"/>
    <mergeCell ref="D15:F15"/>
    <mergeCell ref="I15:K15"/>
    <mergeCell ref="A16:C16"/>
    <mergeCell ref="A12:C12"/>
    <mergeCell ref="I14:K14"/>
    <mergeCell ref="F22:G22"/>
    <mergeCell ref="A1:K1"/>
    <mergeCell ref="G12:H12"/>
    <mergeCell ref="I5:K5"/>
    <mergeCell ref="A9:C9"/>
    <mergeCell ref="A10:C10"/>
    <mergeCell ref="A20:K20"/>
    <mergeCell ref="A15:C15"/>
    <mergeCell ref="D18:K18"/>
    <mergeCell ref="D9:K9"/>
    <mergeCell ref="A13:C13"/>
    <mergeCell ref="A7:C7"/>
    <mergeCell ref="A6:C6"/>
    <mergeCell ref="I6:K6"/>
    <mergeCell ref="G5:H5"/>
    <mergeCell ref="I12:K12"/>
    <mergeCell ref="I8:K8"/>
    <mergeCell ref="I13:K13"/>
    <mergeCell ref="D10:K10"/>
    <mergeCell ref="I7:K7"/>
  </mergeCells>
  <phoneticPr fontId="1" type="noConversion"/>
  <dataValidations count="5">
    <dataValidation type="list" allowBlank="1" showInputMessage="1" showErrorMessage="1" sqref="D6:F6">
      <formula1>"G1 / B2 / G2（请选择）,G1,G2,B2"</formula1>
    </dataValidation>
    <dataValidation type="list" allowBlank="1" showInputMessage="1" showErrorMessage="1" sqref="D9:K9">
      <formula1>"请选择,签单与投标决策差异,项目成本变动,验收单异常,分包变化,项目核减,坏账,项目非正常终止,化债,其他"</formula1>
    </dataValidation>
    <dataValidation type="list" allowBlank="1" showInputMessage="1" showErrorMessage="1" sqref="I7:K7">
      <formula1>"请选择,运维中,实施中"</formula1>
    </dataValidation>
    <dataValidation type="list" allowBlank="1" showInputMessage="1" showErrorMessage="1" sqref="I6:K6">
      <formula1>"请选择,华南营销处,华北营销处-区域,华北营销处-渠道"</formula1>
    </dataValidation>
    <dataValidation type="list" allowBlank="1" sqref="I23:I26">
      <formula1>"绿灯,黄灯,红灯"</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7.4" customHeight="1"/>
  <cols>
    <col min="1" max="1" width="18.3310546875" customWidth="1" style="348"/>
    <col min="2" max="2" width="15.9990234375" customWidth="1" style="348"/>
    <col min="3" max="3" width="17.1650390625" customWidth="1" style="348"/>
    <col min="4" max="4" width="20.33203125" customWidth="1" style="348"/>
    <col min="5" max="5" width="22.998046875" customWidth="1" style="348"/>
    <col min="6" max="6" width="24.1640625" customWidth="1" style="174"/>
    <col min="7" max="7" width="22.166015625" customWidth="1" style="174"/>
    <col min="8" max="8" width="21.9990234375" customWidth="1" style="175"/>
    <col min="9" max="9" width="20.1650390625" customWidth="1" style="176"/>
    <col min="10" max="10" width="19.3330078125" customWidth="1" style="176"/>
    <col min="11" max="11" width="13.166015625" customWidth="1" style="348"/>
    <col min="12" max="12" width="9.6650390625" customWidth="1" style="348"/>
    <col min="13" max="13" width="11.1650390625" customWidth="1" style="348"/>
    <col min="14" max="15" width="6.1640625" customWidth="1" style="348"/>
    <col min="16" max="40" width="9" style="6"/>
  </cols>
  <sheetData>
    <row r="1" s="348" customFormat="1" ht="50.25" customHeight="1">
      <c r="A1" s="177" t="s">
        <v>309</v>
      </c>
      <c r="B1" s="178"/>
      <c r="C1" s="178"/>
      <c r="D1" s="178"/>
      <c r="E1" s="178"/>
      <c r="F1" s="178"/>
      <c r="G1" s="178"/>
      <c r="H1" s="178"/>
      <c r="I1" s="178"/>
      <c r="J1" s="179"/>
    </row>
    <row r="2" s="348" customFormat="1" ht="33" customHeight="1">
      <c r="A2" s="180" t="s">
        <v>310</v>
      </c>
      <c r="B2" s="181" t="s">
        <v>311</v>
      </c>
      <c r="C2" s="182" t="s">
        <v>312</v>
      </c>
      <c r="D2" s="181" t="s">
        <v>111</v>
      </c>
      <c r="E2" s="182" t="s">
        <v>313</v>
      </c>
      <c r="F2" s="181" t="s">
        <v>124</v>
      </c>
      <c r="G2" s="182" t="s">
        <v>55</v>
      </c>
      <c r="H2" s="181" t="s">
        <v>125</v>
      </c>
      <c r="I2" s="182" t="s">
        <v>314</v>
      </c>
      <c r="J2" s="183" t="n">
        <v>1</v>
      </c>
    </row>
    <row r="3" s="348" customFormat="1" ht="25.5" customHeight="1">
      <c r="A3" s="180" t="s">
        <v>315</v>
      </c>
      <c r="B3" s="184" t="s">
        <v>316</v>
      </c>
      <c r="C3" s="182" t="s">
        <v>317</v>
      </c>
      <c r="D3" s="181" t="s">
        <v>318</v>
      </c>
      <c r="E3" s="182" t="s">
        <v>112</v>
      </c>
      <c r="F3" s="181" t="s">
        <v>113</v>
      </c>
      <c r="G3" s="182" t="s">
        <v>280</v>
      </c>
      <c r="H3" s="181" t="s">
        <v>319</v>
      </c>
      <c r="I3" s="182" t="s">
        <v>123</v>
      </c>
      <c r="J3" s="349" t="n">
        <v>46315</v>
      </c>
    </row>
    <row r="4" s="348" customFormat="1" ht="25.5" customHeight="1">
      <c r="A4" s="180" t="s">
        <v>320</v>
      </c>
      <c r="B4" s="185" t="n">
        <v>46315</v>
      </c>
      <c r="C4" s="182" t="s">
        <v>321</v>
      </c>
      <c r="D4" s="185" t="n">
        <v>46680</v>
      </c>
      <c r="E4" s="182" t="s">
        <v>322</v>
      </c>
      <c r="F4" s="181" t="s">
        <v>182</v>
      </c>
      <c r="G4" s="182" t="s">
        <v>283</v>
      </c>
      <c r="H4" s="186" t="s">
        <v>323</v>
      </c>
      <c r="I4" s="182" t="s">
        <v>324</v>
      </c>
      <c r="J4" s="187" t="n">
        <v>0.7</v>
      </c>
    </row>
    <row r="5" s="348" customFormat="1" ht="37.5" customHeight="1">
      <c r="A5" s="180" t="s">
        <v>325</v>
      </c>
      <c r="B5" s="188" t="s">
        <v>326</v>
      </c>
      <c r="C5" s="189"/>
      <c r="D5" s="182" t="s">
        <v>327</v>
      </c>
      <c r="E5" s="182" t="s">
        <v>328</v>
      </c>
      <c r="F5" s="182" t="s">
        <v>329</v>
      </c>
      <c r="G5" s="182" t="s">
        <v>330</v>
      </c>
      <c r="H5" s="182" t="s">
        <v>331</v>
      </c>
      <c r="I5" s="190" t="s">
        <v>332</v>
      </c>
      <c r="J5" s="191"/>
    </row>
    <row r="6" s="173" customFormat="1" ht="30" customHeight="1">
      <c r="A6" s="192"/>
      <c r="B6" s="193" t="n">
        <v>350000</v>
      </c>
      <c r="C6" s="194"/>
      <c r="D6" s="193" t="n">
        <f>B6/(1+6%)</f>
        <v>330188.679245283</v>
      </c>
      <c r="E6" s="193" t="n">
        <f>G10</f>
        <v>50000</v>
      </c>
      <c r="F6" s="193" t="n">
        <f>G11</f>
        <v>0</v>
      </c>
      <c r="G6" s="193" t="n">
        <f>D6-(E6+F6)/1.06-B8</f>
        <v>283018.867924528</v>
      </c>
      <c r="H6" s="193" t="n">
        <f>SUM(G19:G28)</f>
        <v>151325</v>
      </c>
      <c r="I6" s="195" t="n">
        <f>'附3-交付成本评估'!CK2</f>
        <v>0</v>
      </c>
      <c r="J6" s="196"/>
    </row>
    <row r="7" s="173" customFormat="1" ht="40.5" customHeight="1">
      <c r="A7" s="180" t="s">
        <v>333</v>
      </c>
      <c r="B7" s="182" t="s">
        <v>334</v>
      </c>
      <c r="C7" s="189"/>
      <c r="D7" s="182" t="s">
        <v>335</v>
      </c>
      <c r="E7" s="182" t="s">
        <v>336</v>
      </c>
      <c r="F7" s="182" t="s">
        <v>337</v>
      </c>
      <c r="G7" s="190" t="s">
        <v>338</v>
      </c>
      <c r="H7" s="190" t="s">
        <v>339</v>
      </c>
      <c r="I7" s="190" t="s">
        <v>340</v>
      </c>
      <c r="J7" s="191" t="s">
        <v>341</v>
      </c>
    </row>
    <row r="8" s="173" customFormat="1" ht="30" customHeight="1">
      <c r="A8" s="192"/>
      <c r="B8" s="193" t="n">
        <f>G12</f>
        <v>0</v>
      </c>
      <c r="C8" s="189"/>
      <c r="D8" s="193" t="n">
        <f>SUM(G13:G17)</f>
        <v>65111.8867924528</v>
      </c>
      <c r="E8" s="193" t="n">
        <f>G6-D8</f>
        <v>217906.981132075</v>
      </c>
      <c r="F8" s="197" t="n">
        <f>E8/D6</f>
        <v>0.659946857142856</v>
      </c>
      <c r="G8" s="195" t="n">
        <f>G6-D8-H6-G18</f>
        <v>49803.1435849052</v>
      </c>
      <c r="H8" s="198" t="n">
        <f>G8/D6</f>
        <v>0.150832377714284</v>
      </c>
      <c r="I8" s="199" t="n">
        <f>H6/G6</f>
        <v>0.534681666666667</v>
      </c>
      <c r="J8" s="200" t="n">
        <f>SUM(G13:G18)/G6</f>
        <v>0.289347226</v>
      </c>
    </row>
    <row r="9" s="348" customFormat="1" ht="32" customHeight="1">
      <c r="A9" s="201" t="s">
        <v>64</v>
      </c>
      <c r="B9" s="202" t="s">
        <v>342</v>
      </c>
      <c r="C9" s="202"/>
      <c r="D9" s="202" t="s">
        <v>343</v>
      </c>
      <c r="E9" s="202" t="s">
        <v>344</v>
      </c>
      <c r="F9" s="189"/>
      <c r="G9" s="203" t="s">
        <v>345</v>
      </c>
      <c r="H9" s="204" t="s">
        <v>346</v>
      </c>
      <c r="I9" s="205" t="s">
        <v>347</v>
      </c>
      <c r="J9" s="206"/>
    </row>
    <row r="10" s="348" customFormat="1" ht="51.75" customHeight="1">
      <c r="A10" s="207" t="n">
        <v>1</v>
      </c>
      <c r="B10" s="208" t="s">
        <v>348</v>
      </c>
      <c r="C10" s="189"/>
      <c r="D10" s="209" t="s">
        <v>164</v>
      </c>
      <c r="E10" s="491" t="s">
        <v>349</v>
      </c>
      <c r="F10" s="189"/>
      <c r="G10" s="211" t="n">
        <v>50000</v>
      </c>
      <c r="H10" s="212" t="n">
        <f>G10/1.06/$D$6</f>
        <v>0.142857142857143</v>
      </c>
      <c r="I10" s="213" t="s">
        <v>350</v>
      </c>
      <c r="J10" s="206"/>
    </row>
    <row r="11" s="348" customFormat="1" ht="43" customHeight="1">
      <c r="A11" s="214"/>
      <c r="B11" s="215" t="s">
        <v>329</v>
      </c>
      <c r="C11" s="216"/>
      <c r="D11" s="217" t="s">
        <v>164</v>
      </c>
      <c r="E11" s="218" t="s">
        <v>351</v>
      </c>
      <c r="F11" s="216"/>
      <c r="G11" s="219" t="n">
        <f>'附3-交付成本评估'!BF2+'附3-交付成本评估'!BL2+'附3-交付成本评估'!CB2+'附3-交付成本评估'!CH2</f>
        <v>0</v>
      </c>
      <c r="H11" s="220" t="n">
        <f>G11/$D$6</f>
        <v>0</v>
      </c>
      <c r="I11" s="221" t="s">
        <v>352</v>
      </c>
      <c r="J11" s="222"/>
    </row>
    <row r="12" s="348" customFormat="1" ht="40.5" customHeight="1">
      <c r="A12" s="223"/>
      <c r="B12" s="215" t="s">
        <v>334</v>
      </c>
      <c r="C12" s="216"/>
      <c r="D12" s="217" t="s">
        <v>164</v>
      </c>
      <c r="E12" s="218" t="s">
        <v>353</v>
      </c>
      <c r="F12" s="216"/>
      <c r="G12" s="219" t="n">
        <v>0</v>
      </c>
      <c r="H12" s="220" t="n">
        <f>G12/$D$6</f>
        <v>0</v>
      </c>
      <c r="I12" s="224" t="s">
        <v>354</v>
      </c>
      <c r="J12" s="222"/>
    </row>
    <row r="13" s="348" customFormat="1" ht="80.00000000000001" customHeight="1">
      <c r="A13" s="225" t="n">
        <v>2</v>
      </c>
      <c r="B13" s="208" t="s">
        <v>355</v>
      </c>
      <c r="C13" s="208" t="s">
        <v>356</v>
      </c>
      <c r="D13" s="209" t="s">
        <v>357</v>
      </c>
      <c r="E13" s="210" t="s">
        <v>358</v>
      </c>
      <c r="F13" s="189"/>
      <c r="G13" s="211" t="n">
        <f>(B6-E6)/10000*1727</f>
        <v>51810</v>
      </c>
      <c r="H13" s="212" t="n">
        <f>G13/$D$6</f>
        <v>0.156910285714286</v>
      </c>
      <c r="I13" s="226" t="s">
        <v>359</v>
      </c>
      <c r="J13" s="227"/>
    </row>
    <row r="14" s="348" customFormat="1" ht="39" customHeight="1">
      <c r="A14" s="192"/>
      <c r="B14" s="189"/>
      <c r="C14" s="208" t="s">
        <v>360</v>
      </c>
      <c r="D14" s="209" t="s">
        <v>361</v>
      </c>
      <c r="E14" s="210" t="s">
        <v>362</v>
      </c>
      <c r="F14" s="189"/>
      <c r="G14" s="211"/>
      <c r="H14" s="212" t="n">
        <f>G14/$D$6</f>
        <v>0</v>
      </c>
      <c r="I14" s="228"/>
      <c r="J14" s="206"/>
    </row>
    <row r="15" s="348" customFormat="1" ht="39" customHeight="1">
      <c r="A15" s="192"/>
      <c r="B15" s="189"/>
      <c r="C15" s="189"/>
      <c r="D15" s="209" t="s">
        <v>363</v>
      </c>
      <c r="E15" s="210" t="s">
        <v>364</v>
      </c>
      <c r="F15" s="189"/>
      <c r="G15" s="211" t="n">
        <v>10000</v>
      </c>
      <c r="H15" s="212" t="n">
        <f>G15/$D$6</f>
        <v>0.0302857142857143</v>
      </c>
      <c r="I15" s="228" t="s">
        <v>365</v>
      </c>
      <c r="J15" s="206"/>
    </row>
    <row r="16" s="348" customFormat="1" ht="39" customHeight="1">
      <c r="A16" s="225"/>
      <c r="B16" s="208"/>
      <c r="C16" s="208"/>
      <c r="D16" s="209" t="s">
        <v>366</v>
      </c>
      <c r="E16" s="210" t="s">
        <v>367</v>
      </c>
      <c r="F16" s="189"/>
      <c r="G16" s="211"/>
      <c r="H16" s="212" t="n">
        <f>G16/$D$6</f>
        <v>0</v>
      </c>
      <c r="I16" s="228"/>
      <c r="J16" s="206"/>
    </row>
    <row r="17" s="348" customFormat="1" ht="39" customHeight="1">
      <c r="A17" s="225"/>
      <c r="B17" s="208"/>
      <c r="C17" s="208"/>
      <c r="D17" s="209" t="s">
        <v>368</v>
      </c>
      <c r="E17" s="229" t="s">
        <v>369</v>
      </c>
      <c r="F17" s="189"/>
      <c r="G17" s="211" t="n">
        <f>D6*1%</f>
        <v>3301.88679245283</v>
      </c>
      <c r="H17" s="212" t="n">
        <f>G17/$D$6</f>
        <v>0.01</v>
      </c>
      <c r="I17" s="228"/>
      <c r="J17" s="206"/>
    </row>
    <row r="18" s="348" customFormat="1" ht="45.75" customHeight="1">
      <c r="A18" s="192"/>
      <c r="B18" s="189"/>
      <c r="C18" s="189"/>
      <c r="D18" s="230" t="s">
        <v>370</v>
      </c>
      <c r="E18" s="231" t="s">
        <v>371</v>
      </c>
      <c r="F18" s="431"/>
      <c r="G18" s="232" t="n">
        <f>E8*7.7%</f>
        <v>16778.8375471698</v>
      </c>
      <c r="H18" s="233" t="n">
        <f>G18/$D$6</f>
        <v>0.050815908</v>
      </c>
      <c r="I18" s="234" t="s">
        <v>372</v>
      </c>
      <c r="J18" s="206"/>
    </row>
    <row r="19" s="348" customFormat="1" ht="62.25" customHeight="1">
      <c r="A19" s="225" t="n">
        <v>3</v>
      </c>
      <c r="B19" s="208" t="s">
        <v>373</v>
      </c>
      <c r="C19" s="208" t="s">
        <v>356</v>
      </c>
      <c r="D19" s="209" t="s">
        <v>357</v>
      </c>
      <c r="E19" s="412" t="s">
        <v>374</v>
      </c>
      <c r="F19" s="431"/>
      <c r="G19" s="211" t="n">
        <f>'附3-交付成本评估'!P2+'附3-交付成本评估'!BW2</f>
        <v>29680</v>
      </c>
      <c r="H19" s="212" t="n">
        <f>G19/$D$6</f>
        <v>0.089888</v>
      </c>
      <c r="I19" s="492" t="s">
        <v>375</v>
      </c>
      <c r="J19" s="206"/>
    </row>
    <row r="20" s="348" customFormat="1" ht="93.50000000000001" customHeight="1">
      <c r="A20" s="192"/>
      <c r="B20" s="189"/>
      <c r="C20" s="235"/>
      <c r="D20" s="209" t="s">
        <v>376</v>
      </c>
      <c r="E20" s="412" t="s">
        <v>377</v>
      </c>
      <c r="F20" s="431"/>
      <c r="G20" s="211" t="n">
        <f>'附3-交付成本评估'!Q2+'附3-交付成本评估'!BX2</f>
        <v>70645</v>
      </c>
      <c r="H20" s="212" t="n">
        <f>G20/$D$6</f>
        <v>0.213953428571429</v>
      </c>
      <c r="I20" s="493" t="s">
        <v>378</v>
      </c>
      <c r="J20" s="206"/>
    </row>
    <row r="21" s="348" customFormat="1" ht="41.25" customHeight="1">
      <c r="A21" s="192"/>
      <c r="B21" s="189"/>
      <c r="C21" s="215" t="s">
        <v>379</v>
      </c>
      <c r="D21" s="217" t="s">
        <v>380</v>
      </c>
      <c r="E21" s="218" t="s">
        <v>381</v>
      </c>
      <c r="F21" s="216"/>
      <c r="G21" s="219" t="n">
        <f>'附3-交付成本评估'!BD2+'附3-交付成本评估'!BK2+'附3-交付成本评估'!BZ2+'附3-交付成本评估'!CG2</f>
        <v>0</v>
      </c>
      <c r="H21" s="220" t="n">
        <f>G21/$D$6</f>
        <v>0</v>
      </c>
      <c r="I21" s="221" t="s">
        <v>382</v>
      </c>
      <c r="J21" s="222"/>
    </row>
    <row r="22" s="348" customFormat="1" ht="41.25" customHeight="1">
      <c r="A22" s="192"/>
      <c r="B22" s="189"/>
      <c r="C22" s="208" t="s">
        <v>383</v>
      </c>
      <c r="D22" s="209" t="s">
        <v>361</v>
      </c>
      <c r="E22" s="210" t="s">
        <v>384</v>
      </c>
      <c r="F22" s="189"/>
      <c r="G22" s="211" t="n">
        <f>'附3-交付成本评估'!BJ2+'附3-交付成本评估'!CF2</f>
        <v>2800</v>
      </c>
      <c r="H22" s="212" t="n">
        <f>G22/$D$6</f>
        <v>0.00848</v>
      </c>
      <c r="I22" s="494" t="s">
        <v>385</v>
      </c>
      <c r="J22" s="206"/>
    </row>
    <row r="23" s="348" customFormat="1" ht="41.25" customHeight="1">
      <c r="A23" s="192"/>
      <c r="B23" s="189"/>
      <c r="C23" s="208" t="s">
        <v>386</v>
      </c>
      <c r="D23" s="209" t="s">
        <v>357</v>
      </c>
      <c r="E23" s="210" t="s">
        <v>387</v>
      </c>
      <c r="F23" s="189"/>
      <c r="G23" s="211" t="n">
        <f>'附3-交付成本评估'!X2+'附3-交付成本评估'!BT2</f>
        <v>42400</v>
      </c>
      <c r="H23" s="212" t="n">
        <f>G23/$D$6</f>
        <v>0.128411428571429</v>
      </c>
      <c r="I23" s="495" t="s">
        <v>388</v>
      </c>
      <c r="J23" s="206"/>
    </row>
    <row r="24" s="348" customFormat="1" ht="35.25" customHeight="1">
      <c r="A24" s="192"/>
      <c r="B24" s="189"/>
      <c r="C24" s="189"/>
      <c r="D24" s="209" t="s">
        <v>389</v>
      </c>
      <c r="E24" s="210" t="s">
        <v>389</v>
      </c>
      <c r="F24" s="189"/>
      <c r="G24" s="211" t="n">
        <f>'附3-交付成本评估'!BH2+'附3-交付成本评估'!CD2</f>
        <v>2800</v>
      </c>
      <c r="H24" s="212" t="n">
        <f>G24/$D$6</f>
        <v>0.00848</v>
      </c>
      <c r="I24" s="496" t="s">
        <v>390</v>
      </c>
      <c r="J24" s="206"/>
    </row>
    <row r="25" s="348" customFormat="1" ht="32.25" customHeight="1">
      <c r="A25" s="192"/>
      <c r="B25" s="189"/>
      <c r="C25" s="189"/>
      <c r="D25" s="209" t="s">
        <v>363</v>
      </c>
      <c r="E25" s="210" t="s">
        <v>391</v>
      </c>
      <c r="F25" s="189"/>
      <c r="G25" s="211" t="n">
        <v>1000</v>
      </c>
      <c r="H25" s="212" t="n">
        <f>G25/$D$6</f>
        <v>0.00302857142857143</v>
      </c>
      <c r="I25" s="228" t="s">
        <v>392</v>
      </c>
      <c r="J25" s="206"/>
    </row>
    <row r="26" s="348" customFormat="1" ht="32.25" customHeight="1">
      <c r="A26" s="192"/>
      <c r="B26" s="189"/>
      <c r="C26" s="189"/>
      <c r="D26" s="209" t="s">
        <v>393</v>
      </c>
      <c r="E26" s="210" t="s">
        <v>394</v>
      </c>
      <c r="F26" s="189"/>
      <c r="G26" s="211" t="n">
        <v>1000</v>
      </c>
      <c r="H26" s="212" t="n">
        <f>G26/$D$6</f>
        <v>0.00302857142857143</v>
      </c>
      <c r="I26" s="228" t="s">
        <v>395</v>
      </c>
      <c r="J26" s="206"/>
    </row>
    <row r="27" s="348" customFormat="1" ht="45" customHeight="1">
      <c r="A27" s="192"/>
      <c r="B27" s="189"/>
      <c r="C27" s="189"/>
      <c r="D27" s="209" t="s">
        <v>396</v>
      </c>
      <c r="E27" s="210" t="s">
        <v>397</v>
      </c>
      <c r="F27" s="189"/>
      <c r="G27" s="211" t="n">
        <v>1000</v>
      </c>
      <c r="H27" s="212" t="n">
        <f>G27/$D$6</f>
        <v>0.00302857142857143</v>
      </c>
      <c r="I27" s="228" t="s">
        <v>398</v>
      </c>
      <c r="J27" s="206"/>
    </row>
    <row r="28" s="348" customFormat="1" ht="32" customHeight="1">
      <c r="A28" s="192"/>
      <c r="B28" s="189"/>
      <c r="C28" s="189"/>
      <c r="D28" s="209" t="s">
        <v>399</v>
      </c>
      <c r="E28" s="229" t="s">
        <v>400</v>
      </c>
      <c r="F28" s="189"/>
      <c r="G28" s="211"/>
      <c r="H28" s="212" t="n">
        <f>G28/$D$6</f>
        <v>0</v>
      </c>
      <c r="I28" s="228"/>
      <c r="J28" s="206"/>
    </row>
    <row r="29" s="348" customFormat="1" ht="27.95" customHeight="1">
      <c r="A29" s="236" t="s">
        <v>401</v>
      </c>
      <c r="B29" s="237" t="s">
        <v>125</v>
      </c>
      <c r="C29" s="238"/>
      <c r="D29" s="239"/>
      <c r="E29" s="237" t="s">
        <v>402</v>
      </c>
      <c r="F29" s="238"/>
      <c r="G29" s="240" t="s">
        <v>152</v>
      </c>
      <c r="H29" s="241"/>
      <c r="I29" s="241"/>
      <c r="J29" s="242"/>
    </row>
    <row r="30" s="348" customFormat="1" ht="52.5" customHeight="1">
      <c r="A30" s="243" t="s">
        <v>403</v>
      </c>
      <c r="B30" s="238"/>
      <c r="C30" s="238"/>
      <c r="D30" s="238"/>
      <c r="E30" s="238"/>
      <c r="F30" s="238"/>
      <c r="G30" s="238"/>
      <c r="H30" s="238"/>
      <c r="I30" s="238"/>
      <c r="J30" s="244"/>
    </row>
  </sheetData>
  <mergeCells count="62">
    <mergeCell ref="E12:F12"/>
    <mergeCell ref="B7:C7"/>
    <mergeCell ref="B10:C10"/>
    <mergeCell ref="I20:J20"/>
    <mergeCell ref="B6:C6"/>
    <mergeCell ref="E14:F14"/>
    <mergeCell ref="B8:C8"/>
    <mergeCell ref="I18:J18"/>
    <mergeCell ref="E28:F28"/>
    <mergeCell ref="I9:J9"/>
    <mergeCell ref="I21:J21"/>
    <mergeCell ref="A19:A28"/>
    <mergeCell ref="E25:F25"/>
    <mergeCell ref="B11:C11"/>
    <mergeCell ref="I14:J14"/>
    <mergeCell ref="I13:J13"/>
    <mergeCell ref="E9:F9"/>
    <mergeCell ref="I25:J25"/>
    <mergeCell ref="I26:J26"/>
    <mergeCell ref="I22:J22"/>
    <mergeCell ref="I11:J11"/>
    <mergeCell ref="I28:J28"/>
    <mergeCell ref="E19:F19"/>
    <mergeCell ref="E10:F10"/>
    <mergeCell ref="A13:A18"/>
    <mergeCell ref="B9:C9"/>
    <mergeCell ref="E21:F21"/>
    <mergeCell ref="E27:F27"/>
    <mergeCell ref="A10:A12"/>
    <mergeCell ref="I23:J23"/>
    <mergeCell ref="A5:A6"/>
    <mergeCell ref="E17:F17"/>
    <mergeCell ref="B29:D29"/>
    <mergeCell ref="I27:J27"/>
    <mergeCell ref="I24:J24"/>
    <mergeCell ref="A30:J30"/>
    <mergeCell ref="B12:C12"/>
    <mergeCell ref="E16:F16"/>
    <mergeCell ref="I10:J10"/>
    <mergeCell ref="B13:B18"/>
    <mergeCell ref="A7:A8"/>
    <mergeCell ref="E29:F29"/>
    <mergeCell ref="C23:C28"/>
    <mergeCell ref="I16:J16"/>
    <mergeCell ref="E23:F23"/>
    <mergeCell ref="E15:F15"/>
    <mergeCell ref="E18:F18"/>
    <mergeCell ref="E11:F11"/>
    <mergeCell ref="C19:C20"/>
    <mergeCell ref="E26:F26"/>
    <mergeCell ref="I12:J12"/>
    <mergeCell ref="B19:B28"/>
    <mergeCell ref="E24:F24"/>
    <mergeCell ref="I17:J17"/>
    <mergeCell ref="C14:C18"/>
    <mergeCell ref="E20:F20"/>
    <mergeCell ref="E22:F22"/>
    <mergeCell ref="B5:C5"/>
    <mergeCell ref="A1:J1"/>
    <mergeCell ref="I15:J15"/>
    <mergeCell ref="I19:J19"/>
    <mergeCell ref="E13:F13"/>
  </mergeCells>
  <phoneticPr fontId="1" type="noConversion"/>
  <dataValidations count="3">
    <dataValidation type="list" allowBlank="1" showInputMessage="1" showErrorMessage="1" prompt="㧐禵_x0002_" sqref="J4">
      <formula1>"/,0.7,1,1.3"</formula1>
    </dataValidation>
    <dataValidation type="list" allowBlank="1" showInputMessage="1" showErrorMessage="1" prompt="㧐禵_x0002_" sqref="B3">
      <formula1>"华南营销处,华北营销处"</formula1>
    </dataValidation>
    <dataValidation type="list" allowBlank="1" showInputMessage="1" showErrorMessage="1" prompt="㧐禵_x0002_" sqref="H4">
      <formula1>"提前投入,投标决策,合同交付,项目运维"</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4.399999999999999" customHeight="1"/>
  <cols>
    <col min="1" max="1" width="6.498046875" customWidth="1" style="9"/>
    <col min="2" max="2" width="20.4990234375" customWidth="1" style="9"/>
    <col min="3" max="3" width="19.5" customWidth="1" style="9"/>
    <col min="4" max="7" width="20.4990234375" customWidth="1" style="9"/>
    <col min="8" max="8" width="22.998046875" customWidth="1" style="9"/>
    <col min="9" max="9" width="17.8330078125" customWidth="1" style="9"/>
    <col min="10" max="10" width="19.998046875" customWidth="1" style="9"/>
    <col min="11" max="11" width="26.1650390625" customWidth="1" style="9"/>
    <col min="12" max="12" width="25.5" customWidth="1" style="9"/>
    <col min="13" max="16" width="8.8330078125" style="9"/>
    <col min="17" max="40" width="8.8330078125" style="6"/>
  </cols>
  <sheetData>
    <row r="1" ht="52.5" customHeight="1">
      <c r="A1" s="497" t="s">
        <v>404</v>
      </c>
      <c r="B1" s="146"/>
      <c r="C1" s="147"/>
      <c r="D1" s="146"/>
      <c r="E1" s="147"/>
      <c r="F1" s="146"/>
      <c r="G1" s="15"/>
      <c r="H1" s="15"/>
      <c r="I1" s="15"/>
      <c r="J1" s="15"/>
      <c r="K1" s="15"/>
    </row>
    <row r="2" ht="34.5" customHeight="1">
      <c r="A2" s="148" t="s">
        <v>405</v>
      </c>
      <c r="B2" s="149"/>
      <c r="C2" s="149"/>
      <c r="D2" s="149"/>
      <c r="E2" s="149"/>
      <c r="F2" s="149"/>
      <c r="G2" s="149"/>
      <c r="H2" s="149"/>
      <c r="I2" s="149"/>
      <c r="J2" s="149"/>
      <c r="K2" s="149"/>
    </row>
    <row r="3" ht="46.5" customHeight="1">
      <c r="A3" s="150" t="s">
        <v>406</v>
      </c>
      <c r="B3" s="37"/>
      <c r="C3" s="37"/>
      <c r="D3" s="37"/>
      <c r="E3" s="37"/>
      <c r="F3" s="37"/>
      <c r="G3" s="37"/>
      <c r="H3" s="37"/>
      <c r="I3" s="37"/>
    </row>
    <row r="4" ht="34.5" customHeight="1">
      <c r="A4" s="151" t="s">
        <v>64</v>
      </c>
      <c r="B4" s="152" t="s">
        <v>407</v>
      </c>
      <c r="C4" s="152" t="s">
        <v>408</v>
      </c>
      <c r="D4" s="152" t="s">
        <v>409</v>
      </c>
      <c r="E4" s="153" t="s">
        <v>410</v>
      </c>
      <c r="F4" s="152" t="s">
        <v>411</v>
      </c>
      <c r="G4" s="153" t="s">
        <v>412</v>
      </c>
      <c r="H4" s="153" t="s">
        <v>413</v>
      </c>
      <c r="I4" s="152" t="s">
        <v>414</v>
      </c>
    </row>
    <row r="5" s="7" customFormat="1" ht="34.5" customHeight="1">
      <c r="A5" s="154" t="s">
        <v>415</v>
      </c>
      <c r="B5" s="155" t="s">
        <v>416</v>
      </c>
      <c r="C5" s="156" t="s">
        <v>417</v>
      </c>
      <c r="D5" s="156" t="s">
        <v>418</v>
      </c>
      <c r="E5" s="157" t="s">
        <v>419</v>
      </c>
      <c r="F5" s="158" t="s">
        <v>420</v>
      </c>
      <c r="G5" s="155" t="s">
        <v>421</v>
      </c>
      <c r="H5" s="155" t="s">
        <v>422</v>
      </c>
      <c r="I5" s="156" t="s">
        <v>423</v>
      </c>
    </row>
    <row r="6" s="9" customFormat="1" ht="34.5" customHeight="1">
      <c r="A6" s="114" t="n">
        <v>1</v>
      </c>
      <c r="B6" s="50" t="s">
        <v>424</v>
      </c>
      <c r="C6" s="159" t="n">
        <v>347000</v>
      </c>
      <c r="D6" s="159" t="n">
        <v>229150</v>
      </c>
      <c r="E6" s="160" t="n">
        <f>D6/C6</f>
        <v>0.660374639769452</v>
      </c>
      <c r="F6" s="159" t="n">
        <v>86240</v>
      </c>
      <c r="G6" s="159" t="n">
        <f>SUMIFS('附3-交付成本评估'!P:P,'附3-交付成本评估'!C:C,B6)+SUMIFS('附3-交付成本评估'!Q:Q,'附3-交付成本评估'!C:C,B6)+SUMIFS('附3-交付成本评估'!R:R,'附3-交付成本评估'!C:C,B6)</f>
        <v>0</v>
      </c>
      <c r="H6" s="160" t="n">
        <f>1-F6/(D6/1.06)</f>
        <v>0.601071787039058</v>
      </c>
      <c r="I6" s="114"/>
    </row>
    <row r="7" s="9" customFormat="1" ht="34.5" customHeight="1">
      <c r="A7" s="114" t="n">
        <v>2</v>
      </c>
      <c r="B7" s="50" t="s">
        <v>425</v>
      </c>
      <c r="C7" s="161"/>
      <c r="D7" s="161"/>
      <c r="E7" s="160" t="e">
        <f>D7/C7</f>
        <v>#DIV/0!</v>
      </c>
      <c r="F7" s="161"/>
      <c r="G7" s="159" t="n">
        <f>SUMIFS('附3-交付成本评估'!P:P,'附3-交付成本评估'!C:C,B7)+SUMIFS('附3-交付成本评估'!Q:Q,'附3-交付成本评估'!C:C,B7)+SUMIFS('附3-交付成本评估'!R:R,'附3-交付成本评估'!C:C,B7)</f>
        <v>41869</v>
      </c>
      <c r="H7" s="160" t="e">
        <f>1-F7/(D7/1.06)</f>
        <v>#DIV/0!</v>
      </c>
      <c r="I7" s="50"/>
    </row>
    <row r="8" s="9" customFormat="1" ht="34.5" customHeight="1">
      <c r="A8" s="114" t="n">
        <v>3</v>
      </c>
      <c r="B8" s="50" t="s">
        <v>426</v>
      </c>
      <c r="C8" s="162"/>
      <c r="D8" s="162"/>
      <c r="E8" s="160" t="e">
        <f>D8/C8</f>
        <v>#DIV/0!</v>
      </c>
      <c r="F8" s="162"/>
      <c r="G8" s="159" t="n">
        <f>SUMIFS('附3-交付成本评估'!P:P,'附3-交付成本评估'!C:C,B8)+SUMIFS('附3-交付成本评估'!Q:Q,'附3-交付成本评估'!C:C,B8)+SUMIFS('附3-交付成本评估'!R:R,'附3-交付成本评估'!C:C,B8)</f>
        <v>0</v>
      </c>
      <c r="H8" s="160" t="e">
        <f>1-F8/(D8/1.06)</f>
        <v>#DIV/0!</v>
      </c>
      <c r="I8" s="50"/>
    </row>
    <row r="9" s="9" customFormat="1" ht="48" customHeight="1">
      <c r="A9" s="163" t="s">
        <v>427</v>
      </c>
      <c r="B9" s="163" t="s">
        <v>428</v>
      </c>
      <c r="C9" s="163" t="s">
        <v>164</v>
      </c>
      <c r="D9" s="163" t="s">
        <v>429</v>
      </c>
      <c r="E9" s="163" t="s">
        <v>164</v>
      </c>
      <c r="F9" s="163" t="s">
        <v>430</v>
      </c>
      <c r="G9" s="163" t="s">
        <v>431</v>
      </c>
      <c r="H9" s="498" t="s">
        <v>432</v>
      </c>
      <c r="I9" s="164" t="s">
        <v>433</v>
      </c>
    </row>
    <row r="10" s="9" customFormat="1" ht="34.5" customHeight="1">
      <c r="A10" s="165" t="s">
        <v>434</v>
      </c>
      <c r="B10" s="118" t="s">
        <v>164</v>
      </c>
      <c r="C10" s="166" t="s">
        <v>164</v>
      </c>
      <c r="D10" s="166" t="n">
        <f>SUM(D6:D8)</f>
        <v>229150</v>
      </c>
      <c r="E10" s="118" t="s">
        <v>164</v>
      </c>
      <c r="F10" s="167"/>
      <c r="G10" s="167"/>
      <c r="H10" s="168" t="n">
        <f>1-F10/(D10/1.06)</f>
        <v>1</v>
      </c>
      <c r="I10" s="118" t="s">
        <v>164</v>
      </c>
    </row>
    <row r="11" ht="34.5" customHeight="1"/>
    <row r="12" ht="34.5" customHeight="1">
      <c r="A12" s="169" t="s">
        <v>435</v>
      </c>
    </row>
    <row r="13" ht="34.5" customHeight="1">
      <c r="A13" s="9" t="s">
        <v>436</v>
      </c>
    </row>
    <row r="14" ht="34.5" customHeight="1">
      <c r="A14" s="151" t="s">
        <v>437</v>
      </c>
      <c r="B14" s="37"/>
      <c r="C14" s="37"/>
      <c r="D14" s="37"/>
      <c r="E14" s="37"/>
      <c r="F14" s="37"/>
      <c r="G14" s="37"/>
      <c r="H14" s="37"/>
      <c r="I14" s="170"/>
      <c r="J14" s="170"/>
      <c r="K14" s="37"/>
      <c r="L14" s="37"/>
    </row>
    <row r="15" ht="40.5" customHeight="1">
      <c r="A15" s="152" t="s">
        <v>64</v>
      </c>
      <c r="B15" s="152" t="s">
        <v>407</v>
      </c>
      <c r="C15" s="152" t="s">
        <v>438</v>
      </c>
      <c r="D15" s="152" t="s">
        <v>439</v>
      </c>
      <c r="E15" s="152" t="s">
        <v>440</v>
      </c>
      <c r="F15" s="153" t="s">
        <v>441</v>
      </c>
      <c r="G15" s="152" t="s">
        <v>442</v>
      </c>
      <c r="H15" s="153" t="s">
        <v>412</v>
      </c>
      <c r="I15" s="153" t="s">
        <v>443</v>
      </c>
      <c r="J15" s="153" t="s">
        <v>444</v>
      </c>
      <c r="K15" s="153" t="s">
        <v>413</v>
      </c>
      <c r="L15" s="152" t="s">
        <v>414</v>
      </c>
    </row>
    <row r="16" s="145" customFormat="1" ht="34.5" customHeight="1">
      <c r="A16" s="156" t="s">
        <v>415</v>
      </c>
      <c r="B16" s="155" t="s">
        <v>416</v>
      </c>
      <c r="C16" s="156" t="s">
        <v>445</v>
      </c>
      <c r="D16" s="156" t="s">
        <v>417</v>
      </c>
      <c r="E16" s="156" t="s">
        <v>418</v>
      </c>
      <c r="F16" s="157" t="s">
        <v>446</v>
      </c>
      <c r="G16" s="158" t="s">
        <v>420</v>
      </c>
      <c r="H16" s="155" t="s">
        <v>421</v>
      </c>
      <c r="I16" s="155"/>
      <c r="J16" s="155"/>
      <c r="K16" s="155" t="s">
        <v>422</v>
      </c>
      <c r="L16" s="156"/>
      <c r="M16" s="7"/>
      <c r="N16" s="7"/>
      <c r="O16" s="7"/>
      <c r="P16" s="7"/>
    </row>
    <row r="17" s="145" customFormat="1" ht="34.5" customHeight="1">
      <c r="A17" s="171" t="s">
        <v>447</v>
      </c>
      <c r="B17" s="165" t="s">
        <v>424</v>
      </c>
      <c r="C17" s="118" t="s">
        <v>448</v>
      </c>
      <c r="D17" s="166" t="n">
        <v>347000</v>
      </c>
      <c r="E17" s="166" t="n">
        <v>229150</v>
      </c>
      <c r="F17" s="168" t="n">
        <f>E17/D17</f>
        <v>0.660374639769452</v>
      </c>
      <c r="G17" s="166" t="n">
        <v>86240</v>
      </c>
      <c r="H17" s="166" t="n">
        <f>I17+J17</f>
        <v>0</v>
      </c>
      <c r="I17" s="166" t="n">
        <f>SUMIFS('附3-交付成本评估'!T:T,'附3-交付成本评估'!C:C,B17,'附3-交付成本评估'!D:D,C17)+SUMIFS('附3-交付成本评估'!U:U,'附3-交付成本评估'!C:C,B17,'附3-交付成本评估'!D:D,C17)</f>
        <v>0</v>
      </c>
      <c r="J17" s="166" t="n">
        <f>SUMIFS('附3-交付成本评估'!V:V,'附3-交付成本评估'!C:C,B17,'附3-交付成本评估'!D:D,C17)</f>
        <v>0</v>
      </c>
      <c r="K17" s="168" t="n">
        <f>1-G17/(E17/1.06)</f>
        <v>0.601071787039058</v>
      </c>
      <c r="L17" s="118"/>
      <c r="M17" s="7"/>
      <c r="N17" s="7"/>
      <c r="O17" s="7"/>
      <c r="P17" s="7"/>
    </row>
    <row r="18" s="145" customFormat="1" ht="34.5" customHeight="1">
      <c r="A18" s="171" t="s">
        <v>449</v>
      </c>
      <c r="B18" s="165" t="s">
        <v>450</v>
      </c>
      <c r="C18" s="118" t="s">
        <v>451</v>
      </c>
      <c r="D18" s="172"/>
      <c r="E18" s="172"/>
      <c r="F18" s="65"/>
      <c r="G18" s="172"/>
      <c r="H18" s="166" t="n">
        <f>I18+J18</f>
        <v>0</v>
      </c>
      <c r="I18" s="166" t="n">
        <f>SUMIFS('附3-交付成本评估'!T:T,'附3-交付成本评估'!C:C,B18,'附3-交付成本评估'!D:D,C18)+SUMIFS('附3-交付成本评估'!U:U,'附3-交付成本评估'!C:C,B18,'附3-交付成本评估'!D:D,C18)</f>
        <v>0</v>
      </c>
      <c r="J18" s="166" t="n">
        <f>SUMIFS('附3-交付成本评估'!V:V,'附3-交付成本评估'!C:C,B18,'附3-交付成本评估'!D:D,C18)</f>
        <v>0</v>
      </c>
      <c r="K18" s="168" t="e">
        <f>1-G18/(E18/1.06)</f>
        <v>#DIV/0!</v>
      </c>
      <c r="L18" s="165"/>
      <c r="M18" s="7"/>
      <c r="N18" s="7"/>
      <c r="O18" s="7"/>
      <c r="P18" s="7"/>
    </row>
    <row r="19" s="145" customFormat="1" ht="34.5" customHeight="1">
      <c r="A19" s="171" t="s">
        <v>452</v>
      </c>
      <c r="B19" s="165" t="s">
        <v>450</v>
      </c>
      <c r="C19" s="118" t="s">
        <v>453</v>
      </c>
      <c r="D19" s="167"/>
      <c r="E19" s="167"/>
      <c r="F19" s="165"/>
      <c r="G19" s="167"/>
      <c r="H19" s="166" t="n">
        <f>I19+J19</f>
        <v>0</v>
      </c>
      <c r="I19" s="166" t="n">
        <f>SUMIFS('附3-交付成本评估'!T:T,'附3-交付成本评估'!C:C,B19,'附3-交付成本评估'!D:D,C19)+SUMIFS('附3-交付成本评估'!U:U,'附3-交付成本评估'!C:C,B19,'附3-交付成本评估'!D:D,C19)</f>
        <v>0</v>
      </c>
      <c r="J19" s="166" t="n">
        <f>SUMIFS('附3-交付成本评估'!V:V,'附3-交付成本评估'!C:C,B19,'附3-交付成本评估'!D:D,C19)</f>
        <v>0</v>
      </c>
      <c r="K19" s="168" t="e">
        <f>1-G19/(E19/1.06)</f>
        <v>#DIV/0!</v>
      </c>
      <c r="L19" s="165"/>
      <c r="M19" s="7"/>
      <c r="N19" s="7"/>
      <c r="O19" s="7"/>
      <c r="P19" s="7"/>
    </row>
    <row r="20" s="145" customFormat="1" ht="34.5" customHeight="1">
      <c r="A20" s="171" t="s">
        <v>454</v>
      </c>
      <c r="B20" s="165"/>
      <c r="C20" s="165"/>
      <c r="D20" s="167"/>
      <c r="E20" s="167"/>
      <c r="F20" s="165"/>
      <c r="G20" s="167"/>
      <c r="H20" s="166" t="n">
        <f>I20+J20</f>
        <v>0</v>
      </c>
      <c r="I20" s="166" t="n">
        <f>SUMIFS('附3-交付成本评估'!T:T,'附3-交付成本评估'!C:C,B20,'附3-交付成本评估'!D:D,C20)+SUMIFS('附3-交付成本评估'!U:U,'附3-交付成本评估'!C:C,B20,'附3-交付成本评估'!D:D,C20)</f>
        <v>0</v>
      </c>
      <c r="J20" s="166" t="n">
        <f>SUMIFS('附3-交付成本评估'!V:V,'附3-交付成本评估'!C:C,B20,'附3-交付成本评估'!D:D,C20)</f>
        <v>0</v>
      </c>
      <c r="K20" s="168" t="e">
        <f>1-G20/(E20/1.06)</f>
        <v>#DIV/0!</v>
      </c>
      <c r="L20" s="165"/>
      <c r="M20" s="7"/>
      <c r="N20" s="7"/>
      <c r="O20" s="7"/>
      <c r="P20" s="7"/>
    </row>
    <row r="21" s="145" customFormat="1" ht="34.5" customHeight="1">
      <c r="A21" s="171" t="s">
        <v>455</v>
      </c>
      <c r="B21" s="165"/>
      <c r="C21" s="165"/>
      <c r="D21" s="167"/>
      <c r="E21" s="167"/>
      <c r="F21" s="165"/>
      <c r="G21" s="167"/>
      <c r="H21" s="166" t="n">
        <f>I21+J21</f>
        <v>0</v>
      </c>
      <c r="I21" s="166" t="n">
        <f>SUMIFS('附3-交付成本评估'!T:T,'附3-交付成本评估'!C:C,B21,'附3-交付成本评估'!D:D,C21)+SUMIFS('附3-交付成本评估'!U:U,'附3-交付成本评估'!C:C,B21,'附3-交付成本评估'!D:D,C21)</f>
        <v>0</v>
      </c>
      <c r="J21" s="166" t="n">
        <f>SUMIFS('附3-交付成本评估'!V:V,'附3-交付成本评估'!C:C,B21,'附3-交付成本评估'!D:D,C21)</f>
        <v>0</v>
      </c>
      <c r="K21" s="168" t="e">
        <f>1-G21/(E21/1.06)</f>
        <v>#DIV/0!</v>
      </c>
      <c r="L21" s="165"/>
      <c r="M21" s="7"/>
      <c r="N21" s="7"/>
      <c r="O21" s="7"/>
      <c r="P21" s="7"/>
    </row>
    <row r="22" ht="34.5" customHeight="1"/>
    <row r="23" ht="34.5" customHeight="1"/>
    <row r="24" ht="34.5" customHeight="1"/>
    <row r="25" ht="34.5" customHeight="1"/>
    <row r="26" ht="34.5" customHeight="1"/>
    <row r="27" ht="34.5" customHeight="1"/>
    <row r="28" ht="34.5" customHeight="1"/>
    <row r="29" ht="34.5" customHeight="1"/>
    <row r="30" ht="34.5" customHeight="1"/>
    <row r="31" ht="34.5" customHeight="1"/>
    <row r="32" ht="34.5" customHeight="1"/>
    <row r="33" ht="34.5" customHeight="1"/>
    <row r="34" ht="34.5" customHeight="1"/>
    <row r="35" ht="34.5" customHeight="1"/>
  </sheetData>
  <mergeCells count="3">
    <mergeCell ref="A3:I3"/>
    <mergeCell ref="A14:L14"/>
    <mergeCell ref="A1:F1"/>
  </mergeCells>
  <phoneticPr fontId="1" type="noConversion"/>
  <dataValidations count="1">
    <dataValidation type="list" allowBlank="1" showInputMessage="1" showErrorMessage="1" prompt="㧐禵_x0002_" sqref="B6:B8 B17:B21">
      <formula1>"统一地址运营,数字孪生基座,数智网格化系统,地址资源运营平台,智域地图平台,空间聚合服务,警情时空分析,110实时警情定位服务,警务社区可视化平台,数据工程,数据资产,数据服务,数据运营,项目定制,项目分包,项目合计"</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5" activePane="bottomRight" state="frozen" ySplit="4"/>
    </sheetView>
  </sheetViews>
  <sheetFormatPr baseColWidth="10" defaultColWidth="8.8330078125" defaultRowHeight="15" customHeight="1"/>
  <cols>
    <col min="1" max="1" width="5.7890625" customWidth="1" style="7"/>
    <col min="2" max="2" width="17.1650390625" customWidth="1" style="7"/>
    <col min="3" max="3" width="21.3310546875" customWidth="1" style="8"/>
    <col min="4" max="4" width="27.9990234375" customWidth="1" style="8"/>
    <col min="5" max="5" width="30.3310546875" customWidth="1" style="8"/>
    <col min="6" max="6" width="62.666015625" customWidth="1" style="76"/>
    <col min="7" max="8" width="15.3310546875" customWidth="1" style="7"/>
    <col min="9" max="9" width="13.6640625" customWidth="1" style="8"/>
    <col min="10" max="10" width="12.9990234375" customWidth="1" style="8"/>
    <col min="11" max="11" width="9.1640625" customWidth="1" style="8"/>
    <col min="12" max="12" width="10.166015625" customWidth="1" style="8"/>
    <col min="13" max="13" width="11.666015625" customWidth="1" style="8"/>
    <col min="14" max="14" width="14.33203125" customWidth="1" style="8"/>
    <col min="15" max="18" width="13.998046875" customWidth="1" style="8"/>
    <col min="19" max="22" width="12.498046875" customWidth="1" style="8"/>
    <col min="23" max="23" width="10.6640625" customWidth="1" style="8"/>
    <col min="24" max="24" width="13.6640625" customWidth="1" style="8"/>
    <col min="25" max="30" width="8.1650390625" customWidth="1" style="8"/>
    <col min="31" max="31" width="10.6640625" customWidth="1" style="8"/>
    <col min="32" max="35" width="8.1650390625" customWidth="1" style="8"/>
    <col min="36" max="36" width="16.166015625" customWidth="1" style="8"/>
    <col min="37" max="39" width="8.1650390625" customWidth="1" style="8"/>
    <col min="40" max="40" width="11.8330078125" customWidth="1" style="8"/>
    <col min="41" max="44" width="9.6650390625" customWidth="1" style="8"/>
    <col min="45" max="46" width="8.1650390625" customWidth="1" style="8"/>
    <col min="47" max="47" width="13.166015625" customWidth="1" style="8"/>
    <col min="48" max="54" width="8.1650390625" customWidth="1" style="8"/>
    <col min="55" max="58" width="8.8330078125" customWidth="1" style="8"/>
    <col min="59" max="59" width="16.3330078125" customWidth="1" style="7"/>
    <col min="60" max="60" width="17.8330078125" customWidth="1" style="7"/>
    <col min="61" max="61" width="15.83203125" customWidth="1" style="7"/>
    <col min="62" max="62" width="15.9990234375" customWidth="1" style="7"/>
    <col min="63" max="63" width="14.4990234375" customWidth="1" style="7"/>
    <col min="64" max="64" width="15.1640625" customWidth="1" style="7"/>
    <col min="65" max="65" width="15.498046875" customWidth="1" style="7"/>
    <col min="66" max="66" width="11.4990234375" customWidth="1" style="8"/>
    <col min="67" max="67" width="8.8330078125" customWidth="1" style="8"/>
    <col min="68" max="68" width="10.3330078125" customWidth="1" style="8"/>
    <col min="69" max="69" width="12.83203125" customWidth="1" style="8"/>
    <col min="70" max="70" width="19.5" customWidth="1" style="8"/>
    <col min="71" max="72" width="10.166015625" customWidth="1" style="8"/>
    <col min="73" max="76" width="8.8330078125" customWidth="1" style="8"/>
    <col min="77" max="78" width="8.666015625" customWidth="1" style="8"/>
    <col min="79" max="80" width="10.166015625" customWidth="1" style="8"/>
    <col min="81" max="81" width="14.666015625" customWidth="1" style="7"/>
    <col min="82" max="82" width="19.3330078125" customWidth="1" style="7"/>
    <col min="83" max="83" width="14.1650390625" customWidth="1" style="7"/>
    <col min="84" max="84" width="15.9990234375" customWidth="1" style="7"/>
    <col min="85" max="85" width="14.666015625" customWidth="1" style="7"/>
    <col min="86" max="86" width="14.8330078125" customWidth="1" style="7"/>
    <col min="87" max="87" width="31.998046875" customWidth="1" style="7"/>
    <col min="88" max="88" width="9.1640625" customWidth="1" style="7"/>
    <col min="89" max="89" width="10.5" customWidth="1" style="7"/>
    <col min="90" max="90" width="14.8330078125" customWidth="1" style="7"/>
  </cols>
  <sheetData>
    <row r="1" ht="50" customHeight="1">
      <c r="A1" s="10" t="s">
        <v>456</v>
      </c>
      <c r="B1" s="10"/>
      <c r="C1" s="77"/>
      <c r="D1" s="77"/>
      <c r="E1" s="77"/>
      <c r="F1" s="78"/>
      <c r="G1" s="10"/>
      <c r="H1" s="10"/>
      <c r="I1" s="79"/>
      <c r="J1" s="10"/>
      <c r="K1" s="10"/>
      <c r="L1" s="10"/>
      <c r="M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row>
    <row r="2" s="6" customFormat="1" ht="35.25" customHeight="1">
      <c r="A2" s="80" t="s">
        <v>434</v>
      </c>
      <c r="B2" s="21"/>
      <c r="C2" s="81"/>
      <c r="D2" s="81"/>
      <c r="E2" s="81"/>
      <c r="F2" s="82"/>
      <c r="G2" s="21"/>
      <c r="H2" s="21"/>
      <c r="I2" s="28"/>
      <c r="J2" s="24" t="n">
        <f>SUM(J5:J42)</f>
        <v>0</v>
      </c>
      <c r="K2" s="24" t="n">
        <f>SUM(K5:K42)</f>
        <v>0</v>
      </c>
      <c r="L2" s="24" t="n">
        <f>SUM(L5:L42)</f>
        <v>0</v>
      </c>
      <c r="M2" s="24" t="n">
        <f>SUM(M5:M42)</f>
        <v>0</v>
      </c>
      <c r="N2" s="24" t="n">
        <f>SUM(N5:N42)</f>
        <v>129270</v>
      </c>
      <c r="O2" s="24" t="n">
        <f>SUM(O5:O42)</f>
        <v>33920</v>
      </c>
      <c r="P2" s="24" t="n">
        <f>SUM(P5:P42)</f>
        <v>29680</v>
      </c>
      <c r="Q2" s="24" t="n">
        <f>SUM(Q5:Q42)</f>
        <v>65670</v>
      </c>
      <c r="R2" s="24" t="n">
        <f>SUM(R5:R42)</f>
        <v>0</v>
      </c>
      <c r="S2" s="24" t="n">
        <f>SUM(S5:S42)</f>
        <v>20</v>
      </c>
      <c r="T2" s="24" t="n">
        <f>SUM(T5:T42)</f>
        <v>17.5</v>
      </c>
      <c r="U2" s="24" t="n">
        <f>SUM(U5:U42)</f>
        <v>66</v>
      </c>
      <c r="V2" s="24" t="n">
        <f>SUM(V5:V42)</f>
        <v>0</v>
      </c>
      <c r="W2" s="26" t="n">
        <f>SUM(W5:W42)</f>
        <v>20</v>
      </c>
      <c r="X2" s="26" t="n">
        <f>SUM(X5:X42)</f>
        <v>33920</v>
      </c>
      <c r="Y2" s="83" t="n">
        <f>SUM(Y5:Y42)</f>
        <v>0</v>
      </c>
      <c r="Z2" s="83" t="n">
        <f>SUM(Z5:Z42)</f>
        <v>0</v>
      </c>
      <c r="AA2" s="83" t="n">
        <f>SUM(AA5:AA42)</f>
        <v>0</v>
      </c>
      <c r="AB2" s="83" t="n">
        <f>SUM(AB5:AB42)</f>
        <v>0</v>
      </c>
      <c r="AC2" s="83" t="n">
        <f>SUM(AC5:AC42)</f>
        <v>0</v>
      </c>
      <c r="AD2" s="83" t="n">
        <f>SUM(AD5:AD42)</f>
        <v>0</v>
      </c>
      <c r="AE2" s="83" t="n">
        <f>SUM(AE5:AE42)</f>
        <v>0</v>
      </c>
      <c r="AF2" s="83" t="n">
        <f>SUM(AF5:AF42)</f>
        <v>0</v>
      </c>
      <c r="AG2" s="83" t="n">
        <f>SUM(AG5:AG42)</f>
        <v>0</v>
      </c>
      <c r="AH2" s="83" t="n">
        <f>SUM(AH5:AH42)</f>
        <v>50</v>
      </c>
      <c r="AI2" s="83" t="n">
        <f>SUM(AI5:AI42)</f>
        <v>0</v>
      </c>
      <c r="AJ2" s="83" t="n">
        <f>SUM(AJ5:AJ42)</f>
        <v>49750</v>
      </c>
      <c r="AK2" s="83" t="n">
        <f>SUM(AK5:AK42)</f>
        <v>0</v>
      </c>
      <c r="AL2" s="83" t="n">
        <f>SUM(AL5:AL42)</f>
        <v>11</v>
      </c>
      <c r="AM2" s="83" t="n">
        <f>SUM(AM5:AM42)</f>
        <v>0</v>
      </c>
      <c r="AN2" s="83" t="n">
        <f>SUM(AN5:AN42)</f>
        <v>10945</v>
      </c>
      <c r="AO2" s="83" t="n">
        <f>SUM(AO5:AO42)</f>
        <v>0</v>
      </c>
      <c r="AP2" s="83" t="n">
        <f>SUM(AP5:AP42)</f>
        <v>0</v>
      </c>
      <c r="AQ2" s="83" t="n">
        <f>SUM(AQ5:AQ42)</f>
        <v>0</v>
      </c>
      <c r="AR2" s="83" t="n">
        <f>SUM(AR5:AR42)</f>
        <v>0</v>
      </c>
      <c r="AS2" s="83" t="n">
        <f>SUM(AS5:AS42)</f>
        <v>17.5</v>
      </c>
      <c r="AT2" s="83" t="n">
        <f>SUM(AT5:AT42)</f>
        <v>0</v>
      </c>
      <c r="AU2" s="83" t="n">
        <f>SUM(AU5:AU42)</f>
        <v>29680</v>
      </c>
      <c r="AV2" s="83" t="n">
        <f>SUM(AV5:AV42)</f>
        <v>0</v>
      </c>
      <c r="AW2" s="83" t="n">
        <f>SUM(AW5:AW42)</f>
        <v>0</v>
      </c>
      <c r="AX2" s="83" t="n">
        <f>SUM(AX5:AX42)</f>
        <v>0</v>
      </c>
      <c r="AY2" s="83" t="n">
        <f>SUM(AY5:AY42)</f>
        <v>0</v>
      </c>
      <c r="AZ2" s="83" t="n">
        <f>SUM(AZ5:AZ42)</f>
        <v>5</v>
      </c>
      <c r="BA2" s="83" t="n">
        <f>SUM(BA5:BA42)</f>
        <v>0</v>
      </c>
      <c r="BB2" s="83" t="n">
        <f>SUM(BB5:BB42)</f>
        <v>4975</v>
      </c>
      <c r="BC2" s="83" t="n">
        <f>SUM(BC5:BC42)</f>
        <v>0</v>
      </c>
      <c r="BD2" s="83" t="n">
        <f>SUM(BD5:BD42)</f>
        <v>0</v>
      </c>
      <c r="BE2" s="83" t="n">
        <f>SUM(BE5:BE42)</f>
        <v>0</v>
      </c>
      <c r="BF2" s="83" t="n">
        <f>SUM(BF5:BF42)</f>
        <v>0</v>
      </c>
      <c r="BG2" s="27" t="n">
        <f>SUM(BG5:BG42)</f>
        <v>5600</v>
      </c>
      <c r="BH2" s="26" t="n">
        <f>SUM(BH5:BH42)</f>
        <v>2800</v>
      </c>
      <c r="BI2" s="26" t="n">
        <f>SUM(BI5:BI42)</f>
        <v>0</v>
      </c>
      <c r="BJ2" s="26" t="n">
        <f>SUM(BJ5:BJ42)</f>
        <v>2800</v>
      </c>
      <c r="BK2" s="26" t="n">
        <f>SUM(BK5:BK42)</f>
        <v>0</v>
      </c>
      <c r="BL2" s="26" t="n">
        <f>SUM(BL5:BL42)</f>
        <v>0</v>
      </c>
      <c r="BM2" s="84"/>
      <c r="BN2" s="24" t="n">
        <f>SUM(BN5:BN42)</f>
        <v>0</v>
      </c>
      <c r="BO2" s="24" t="n">
        <f>SUM(BO5:BO42)</f>
        <v>0</v>
      </c>
      <c r="BP2" s="24" t="n">
        <f>SUM(BP5:BP42)</f>
        <v>0</v>
      </c>
      <c r="BQ2" s="24" t="n">
        <f>SUM(BQ5:BQ42)</f>
        <v>0</v>
      </c>
      <c r="BR2" s="27" t="n">
        <f>SUM(BR5:BR42)</f>
        <v>13455</v>
      </c>
      <c r="BS2" s="26" t="n">
        <f>SUM(BS5:BS42)</f>
        <v>5</v>
      </c>
      <c r="BT2" s="26" t="n">
        <f>SUM(BT5:BT42)</f>
        <v>8480</v>
      </c>
      <c r="BU2" s="26" t="n">
        <f>SUM(BU5:BU42)</f>
        <v>0</v>
      </c>
      <c r="BV2" s="26" t="n">
        <f>SUM(BV5:BV42)</f>
        <v>5</v>
      </c>
      <c r="BW2" s="26" t="n">
        <f>SUM(BW5:BW42)</f>
        <v>0</v>
      </c>
      <c r="BX2" s="26" t="n">
        <f>SUM(BX5:BX42)</f>
        <v>4975</v>
      </c>
      <c r="BY2" s="26" t="n">
        <f>SUM(BY5:BY42)</f>
        <v>0</v>
      </c>
      <c r="BZ2" s="26" t="n">
        <f>SUM(BZ5:BZ42)</f>
        <v>0</v>
      </c>
      <c r="CA2" s="26" t="n">
        <f>SUM(CA5:CA42)</f>
        <v>0</v>
      </c>
      <c r="CB2" s="26" t="n">
        <f>SUM(CB5:CB42)</f>
        <v>0</v>
      </c>
      <c r="CC2" s="27" t="n">
        <f>SUM(CC5:CC42)</f>
        <v>0</v>
      </c>
      <c r="CD2" s="26" t="n">
        <f>SUM(CD5:CD42)</f>
        <v>0</v>
      </c>
      <c r="CE2" s="26" t="n">
        <f>SUM(CE5:CE42)</f>
        <v>0</v>
      </c>
      <c r="CF2" s="26" t="n">
        <f>SUM(CF5:CF42)</f>
        <v>0</v>
      </c>
      <c r="CG2" s="26" t="n">
        <f>SUM(CG5:CG42)</f>
        <v>0</v>
      </c>
      <c r="CH2" s="26" t="n">
        <f>SUM(CH5:CH42)</f>
        <v>0</v>
      </c>
      <c r="CI2" s="28"/>
      <c r="CJ2" s="27" t="n">
        <f>SUM(CJ5:CJ42)</f>
        <v>0</v>
      </c>
      <c r="CK2" s="27" t="n">
        <f>SUM(CK5:CK42)</f>
        <v>0</v>
      </c>
      <c r="CL2" s="85"/>
    </row>
    <row r="3" ht="45" customHeight="1">
      <c r="A3" s="29" t="s">
        <v>64</v>
      </c>
      <c r="B3" s="30" t="s">
        <v>457</v>
      </c>
      <c r="C3" s="86"/>
      <c r="D3" s="86"/>
      <c r="E3" s="86"/>
      <c r="F3" s="87"/>
      <c r="G3" s="31"/>
      <c r="H3" s="31"/>
      <c r="I3" s="88" t="s">
        <v>458</v>
      </c>
      <c r="J3" s="89" t="s">
        <v>459</v>
      </c>
      <c r="K3" s="33"/>
      <c r="L3" s="33"/>
      <c r="M3" s="34"/>
      <c r="N3" s="89" t="s">
        <v>460</v>
      </c>
      <c r="O3" s="34"/>
      <c r="P3" s="34"/>
      <c r="Q3" s="34"/>
      <c r="R3" s="34"/>
      <c r="S3" s="33"/>
      <c r="T3" s="34"/>
      <c r="U3" s="34"/>
      <c r="V3" s="90"/>
      <c r="W3" s="91" t="s">
        <v>461</v>
      </c>
      <c r="X3" s="47"/>
      <c r="Y3" s="92" t="s">
        <v>462</v>
      </c>
      <c r="Z3" s="31"/>
      <c r="AA3" s="93"/>
      <c r="AB3" s="31"/>
      <c r="AC3" s="92" t="s">
        <v>463</v>
      </c>
      <c r="AD3" s="31"/>
      <c r="AE3" s="93"/>
      <c r="AF3" s="31"/>
      <c r="AG3" s="94" t="s">
        <v>464</v>
      </c>
      <c r="AH3" s="31"/>
      <c r="AI3" s="95"/>
      <c r="AJ3" s="31"/>
      <c r="AK3" s="94" t="s">
        <v>465</v>
      </c>
      <c r="AL3" s="31"/>
      <c r="AM3" s="95"/>
      <c r="AN3" s="31"/>
      <c r="AO3" s="94" t="s">
        <v>466</v>
      </c>
      <c r="AP3" s="31"/>
      <c r="AQ3" s="95"/>
      <c r="AR3" s="31"/>
      <c r="AS3" s="92" t="s">
        <v>467</v>
      </c>
      <c r="AT3" s="31"/>
      <c r="AU3" s="93"/>
      <c r="AV3" s="31"/>
      <c r="AW3" s="92" t="s">
        <v>468</v>
      </c>
      <c r="AX3" s="31"/>
      <c r="AY3" s="92" t="s">
        <v>469</v>
      </c>
      <c r="AZ3" s="31"/>
      <c r="BA3" s="93"/>
      <c r="BB3" s="96"/>
      <c r="BC3" s="91" t="s">
        <v>470</v>
      </c>
      <c r="BD3" s="97"/>
      <c r="BE3" s="91" t="s">
        <v>471</v>
      </c>
      <c r="BF3" s="97"/>
      <c r="BG3" s="98" t="s">
        <v>472</v>
      </c>
      <c r="BH3" s="37"/>
      <c r="BI3" s="37"/>
      <c r="BJ3" s="37"/>
      <c r="BK3" s="37"/>
      <c r="BL3" s="98"/>
      <c r="BM3" s="99" t="s">
        <v>473</v>
      </c>
      <c r="BN3" s="32" t="s">
        <v>474</v>
      </c>
      <c r="BO3" s="33"/>
      <c r="BP3" s="33"/>
      <c r="BQ3" s="34"/>
      <c r="BR3" s="35" t="s">
        <v>475</v>
      </c>
      <c r="BS3" s="36" t="s">
        <v>476</v>
      </c>
      <c r="BT3" s="37"/>
      <c r="BU3" s="36" t="s">
        <v>477</v>
      </c>
      <c r="BV3" s="37"/>
      <c r="BW3" s="37"/>
      <c r="BX3" s="37"/>
      <c r="BY3" s="36" t="s">
        <v>478</v>
      </c>
      <c r="BZ3" s="37"/>
      <c r="CA3" s="36" t="s">
        <v>479</v>
      </c>
      <c r="CB3" s="37"/>
      <c r="CC3" s="38" t="s">
        <v>480</v>
      </c>
      <c r="CD3" s="37"/>
      <c r="CE3" s="37"/>
      <c r="CF3" s="37"/>
      <c r="CG3" s="37"/>
      <c r="CH3" s="37"/>
      <c r="CI3" s="39" t="s">
        <v>481</v>
      </c>
      <c r="CJ3" s="100" t="s">
        <v>482</v>
      </c>
      <c r="CK3" s="37"/>
      <c r="CL3" s="37"/>
    </row>
    <row r="4" s="75" customFormat="1" ht="44.25" customHeight="1">
      <c r="A4" s="37"/>
      <c r="B4" s="40" t="s">
        <v>483</v>
      </c>
      <c r="C4" s="41" t="s">
        <v>484</v>
      </c>
      <c r="D4" s="42" t="s">
        <v>485</v>
      </c>
      <c r="E4" s="42" t="s">
        <v>486</v>
      </c>
      <c r="F4" s="41" t="s">
        <v>487</v>
      </c>
      <c r="G4" s="41" t="s">
        <v>488</v>
      </c>
      <c r="H4" s="42" t="s">
        <v>489</v>
      </c>
      <c r="I4" s="101" t="s">
        <v>490</v>
      </c>
      <c r="J4" s="102" t="s">
        <v>491</v>
      </c>
      <c r="K4" s="102" t="s">
        <v>492</v>
      </c>
      <c r="L4" s="102" t="s">
        <v>493</v>
      </c>
      <c r="M4" s="102" t="s">
        <v>494</v>
      </c>
      <c r="N4" s="102" t="s">
        <v>495</v>
      </c>
      <c r="O4" s="102" t="s">
        <v>496</v>
      </c>
      <c r="P4" s="102" t="s">
        <v>497</v>
      </c>
      <c r="Q4" s="102" t="s">
        <v>498</v>
      </c>
      <c r="R4" s="102" t="s">
        <v>499</v>
      </c>
      <c r="S4" s="102" t="s">
        <v>500</v>
      </c>
      <c r="T4" s="102" t="s">
        <v>501</v>
      </c>
      <c r="U4" s="102" t="s">
        <v>502</v>
      </c>
      <c r="V4" s="102" t="s">
        <v>503</v>
      </c>
      <c r="W4" s="103" t="s">
        <v>504</v>
      </c>
      <c r="X4" s="103" t="s">
        <v>505</v>
      </c>
      <c r="Y4" s="104" t="s">
        <v>506</v>
      </c>
      <c r="Z4" s="104" t="s">
        <v>507</v>
      </c>
      <c r="AA4" s="104" t="s">
        <v>508</v>
      </c>
      <c r="AB4" s="104" t="s">
        <v>509</v>
      </c>
      <c r="AC4" s="104" t="s">
        <v>510</v>
      </c>
      <c r="AD4" s="104" t="s">
        <v>511</v>
      </c>
      <c r="AE4" s="104" t="s">
        <v>512</v>
      </c>
      <c r="AF4" s="104" t="s">
        <v>513</v>
      </c>
      <c r="AG4" s="104" t="s">
        <v>514</v>
      </c>
      <c r="AH4" s="104" t="s">
        <v>515</v>
      </c>
      <c r="AI4" s="104" t="s">
        <v>516</v>
      </c>
      <c r="AJ4" s="104" t="s">
        <v>517</v>
      </c>
      <c r="AK4" s="104" t="s">
        <v>518</v>
      </c>
      <c r="AL4" s="104" t="s">
        <v>519</v>
      </c>
      <c r="AM4" s="104" t="s">
        <v>520</v>
      </c>
      <c r="AN4" s="104" t="s">
        <v>521</v>
      </c>
      <c r="AO4" s="104" t="s">
        <v>522</v>
      </c>
      <c r="AP4" s="104" t="s">
        <v>523</v>
      </c>
      <c r="AQ4" s="104" t="s">
        <v>524</v>
      </c>
      <c r="AR4" s="104" t="s">
        <v>525</v>
      </c>
      <c r="AS4" s="104" t="s">
        <v>526</v>
      </c>
      <c r="AT4" s="104" t="s">
        <v>527</v>
      </c>
      <c r="AU4" s="104" t="s">
        <v>528</v>
      </c>
      <c r="AV4" s="104" t="s">
        <v>529</v>
      </c>
      <c r="AW4" s="104" t="s">
        <v>530</v>
      </c>
      <c r="AX4" s="104" t="s">
        <v>531</v>
      </c>
      <c r="AY4" s="104" t="s">
        <v>532</v>
      </c>
      <c r="AZ4" s="104" t="s">
        <v>533</v>
      </c>
      <c r="BA4" s="104" t="s">
        <v>534</v>
      </c>
      <c r="BB4" s="105" t="s">
        <v>535</v>
      </c>
      <c r="BC4" s="103" t="s">
        <v>536</v>
      </c>
      <c r="BD4" s="106" t="s">
        <v>537</v>
      </c>
      <c r="BE4" s="107" t="s">
        <v>536</v>
      </c>
      <c r="BF4" s="108" t="s">
        <v>537</v>
      </c>
      <c r="BG4" s="102" t="s">
        <v>538</v>
      </c>
      <c r="BH4" s="102" t="s">
        <v>539</v>
      </c>
      <c r="BI4" s="102" t="s">
        <v>540</v>
      </c>
      <c r="BJ4" s="102" t="s">
        <v>541</v>
      </c>
      <c r="BK4" s="102" t="s">
        <v>542</v>
      </c>
      <c r="BL4" s="102" t="s">
        <v>543</v>
      </c>
      <c r="BM4" s="37"/>
      <c r="BN4" s="43" t="s">
        <v>491</v>
      </c>
      <c r="BO4" s="43" t="s">
        <v>492</v>
      </c>
      <c r="BP4" s="43" t="s">
        <v>493</v>
      </c>
      <c r="BQ4" s="43" t="s">
        <v>494</v>
      </c>
      <c r="BR4" s="43" t="s">
        <v>544</v>
      </c>
      <c r="BS4" s="109" t="s">
        <v>504</v>
      </c>
      <c r="BT4" s="109" t="s">
        <v>505</v>
      </c>
      <c r="BU4" s="109" t="s">
        <v>545</v>
      </c>
      <c r="BV4" s="109" t="s">
        <v>546</v>
      </c>
      <c r="BW4" s="109" t="s">
        <v>547</v>
      </c>
      <c r="BX4" s="109" t="s">
        <v>548</v>
      </c>
      <c r="BY4" s="109" t="s">
        <v>536</v>
      </c>
      <c r="BZ4" s="109" t="s">
        <v>537</v>
      </c>
      <c r="CA4" s="109" t="s">
        <v>536</v>
      </c>
      <c r="CB4" s="109" t="s">
        <v>537</v>
      </c>
      <c r="CC4" s="45" t="s">
        <v>549</v>
      </c>
      <c r="CD4" s="110" t="s">
        <v>550</v>
      </c>
      <c r="CE4" s="110" t="s">
        <v>551</v>
      </c>
      <c r="CF4" s="110" t="s">
        <v>552</v>
      </c>
      <c r="CG4" s="110" t="s">
        <v>553</v>
      </c>
      <c r="CH4" s="110" t="s">
        <v>554</v>
      </c>
      <c r="CI4" s="47"/>
      <c r="CJ4" s="111" t="s">
        <v>555</v>
      </c>
      <c r="CK4" s="111" t="s">
        <v>556</v>
      </c>
      <c r="CL4" s="112" t="s">
        <v>557</v>
      </c>
    </row>
    <row r="5" s="7" customFormat="1" ht="35" customHeight="1">
      <c r="A5" s="48" t="n">
        <v>1</v>
      </c>
      <c r="B5" s="113" t="s">
        <v>111</v>
      </c>
      <c r="C5" s="114" t="s">
        <v>558</v>
      </c>
      <c r="D5" s="115" t="s">
        <v>559</v>
      </c>
      <c r="E5" s="355" t="s">
        <v>560</v>
      </c>
      <c r="F5" s="117" t="s">
        <v>561</v>
      </c>
      <c r="G5" s="115" t="s">
        <v>562</v>
      </c>
      <c r="H5" s="118" t="s">
        <v>563</v>
      </c>
      <c r="I5" s="48"/>
      <c r="J5" s="53"/>
      <c r="K5" s="53"/>
      <c r="L5" s="53"/>
      <c r="M5" s="53"/>
      <c r="N5" s="119" t="n">
        <f>O5+P5+Q5+R5</f>
        <v>43983</v>
      </c>
      <c r="O5" s="119" t="n">
        <f>X5</f>
        <v>33920</v>
      </c>
      <c r="P5" s="119" t="n">
        <f>AA5+AE5+AI5+AM5+AQ5+AU5+AX5+BA5</f>
        <v>5088</v>
      </c>
      <c r="Q5" s="119" t="n">
        <f>AB5+AF5+AJ5+AN5+AR5+AV5+BB5</f>
        <v>4975</v>
      </c>
      <c r="R5" s="119" t="n">
        <f>BD5+BF5</f>
        <v>0</v>
      </c>
      <c r="S5" s="119" t="n">
        <f>W5</f>
        <v>20</v>
      </c>
      <c r="T5" s="119" t="n">
        <f>Y5+AC5+AG5+AK5+AO5+AS5+AW5+AY5</f>
        <v>3</v>
      </c>
      <c r="U5" s="119" t="n">
        <f>Z5+AD5+AH5+AL5+AP5+AT5+AZ5</f>
        <v>5</v>
      </c>
      <c r="V5" s="119" t="n">
        <f>BC5+BE5</f>
        <v>0</v>
      </c>
      <c r="W5" s="60" t="n">
        <v>20</v>
      </c>
      <c r="X5" s="60" t="n">
        <f>W5*1696</f>
        <v>33920</v>
      </c>
      <c r="Y5" s="120"/>
      <c r="Z5" s="120"/>
      <c r="AA5" s="120"/>
      <c r="AB5" s="120" t="n">
        <f>Z5*995</f>
        <v>0</v>
      </c>
      <c r="AC5" s="121"/>
      <c r="AD5" s="121"/>
      <c r="AE5" s="121" t="n">
        <f>AC5*1696</f>
        <v>0</v>
      </c>
      <c r="AF5" s="121" t="n">
        <f>AD5*995</f>
        <v>0</v>
      </c>
      <c r="AG5" s="120"/>
      <c r="AH5" s="120"/>
      <c r="AI5" s="120"/>
      <c r="AJ5" s="120" t="n">
        <f>AH5*995</f>
        <v>0</v>
      </c>
      <c r="AK5" s="61"/>
      <c r="AL5" s="61"/>
      <c r="AM5" s="61"/>
      <c r="AN5" s="61" t="n">
        <f>AL5*995</f>
        <v>0</v>
      </c>
      <c r="AO5" s="60"/>
      <c r="AP5" s="60"/>
      <c r="AQ5" s="60"/>
      <c r="AR5" s="60" t="n">
        <f>AP5*995</f>
        <v>0</v>
      </c>
      <c r="AS5" s="122" t="n">
        <v>3</v>
      </c>
      <c r="AT5" s="122"/>
      <c r="AU5" s="122" t="n">
        <f>AS5*1696</f>
        <v>5088</v>
      </c>
      <c r="AV5" s="122" t="n">
        <f>AT5*995</f>
        <v>0</v>
      </c>
      <c r="AW5" s="121"/>
      <c r="AX5" s="121"/>
      <c r="AY5" s="66"/>
      <c r="AZ5" s="66" t="n">
        <v>5</v>
      </c>
      <c r="BA5" s="66"/>
      <c r="BB5" s="123" t="n">
        <f>AZ5*995</f>
        <v>4975</v>
      </c>
      <c r="BC5" s="67"/>
      <c r="BD5" s="124" t="n">
        <f>BC5*320</f>
        <v>0</v>
      </c>
      <c r="BE5" s="60"/>
      <c r="BF5" s="60" t="n">
        <f>BE5*320</f>
        <v>0</v>
      </c>
      <c r="BG5" s="125" t="n">
        <f>SUM(BH5:BL5)</f>
        <v>5600</v>
      </c>
      <c r="BH5" s="126" t="n">
        <v>2800</v>
      </c>
      <c r="BI5" s="126"/>
      <c r="BJ5" s="126" t="n">
        <v>2800</v>
      </c>
      <c r="BK5" s="126"/>
      <c r="BL5" s="126"/>
      <c r="BM5" s="127"/>
      <c r="BN5" s="53"/>
      <c r="BO5" s="53"/>
      <c r="BP5" s="53"/>
      <c r="BQ5" s="53"/>
      <c r="BR5" s="54" t="n">
        <f>SUM(BT5,BW5,BX5,BZ5,CB5)</f>
        <v>13455</v>
      </c>
      <c r="BS5" s="55" t="n">
        <v>5</v>
      </c>
      <c r="BT5" s="55" t="n">
        <f>BS5*1696</f>
        <v>8480</v>
      </c>
      <c r="BU5" s="56"/>
      <c r="BV5" s="56" t="n">
        <v>5</v>
      </c>
      <c r="BW5" s="56"/>
      <c r="BX5" s="56" t="n">
        <f>BV5*995</f>
        <v>4975</v>
      </c>
      <c r="BY5" s="57"/>
      <c r="BZ5" s="58" t="n">
        <f>BY5*320</f>
        <v>0</v>
      </c>
      <c r="CA5" s="59"/>
      <c r="CB5" s="59" t="n">
        <f>CA5*320</f>
        <v>0</v>
      </c>
      <c r="CC5" s="53" t="n">
        <f>SUM(CD5:CH5)</f>
        <v>0</v>
      </c>
      <c r="CD5" s="61"/>
      <c r="CE5" s="61"/>
      <c r="CF5" s="61"/>
      <c r="CG5" s="61"/>
      <c r="CH5" s="62"/>
      <c r="CI5" s="63" t="s">
        <v>564</v>
      </c>
      <c r="CJ5" s="128"/>
      <c r="CK5" s="129"/>
      <c r="CL5" s="130" t="s">
        <v>565</v>
      </c>
    </row>
    <row r="6" s="7" customFormat="1" ht="30" customHeight="1">
      <c r="A6" s="48" t="n">
        <v>2</v>
      </c>
      <c r="B6" s="131"/>
      <c r="C6" s="114" t="s">
        <v>558</v>
      </c>
      <c r="D6" s="132"/>
      <c r="E6" s="353"/>
      <c r="F6" s="117" t="s">
        <v>566</v>
      </c>
      <c r="G6" s="132"/>
      <c r="H6" s="118" t="s">
        <v>563</v>
      </c>
      <c r="I6" s="133"/>
      <c r="J6" s="53"/>
      <c r="K6" s="53"/>
      <c r="L6" s="53"/>
      <c r="M6" s="53"/>
      <c r="N6" s="119" t="n">
        <f>O6+P6+Q6+R6</f>
        <v>5088</v>
      </c>
      <c r="O6" s="119" t="n">
        <f>X6</f>
        <v>0</v>
      </c>
      <c r="P6" s="119" t="n">
        <f>AA6+AE6+AI6+AM6+AQ6+AU6+AX6+BA6</f>
        <v>5088</v>
      </c>
      <c r="Q6" s="119" t="n">
        <f>AB6+AF6+AJ6+AN6+AR6+AV6+BB6</f>
        <v>0</v>
      </c>
      <c r="R6" s="119" t="n">
        <f>BD6+BF6</f>
        <v>0</v>
      </c>
      <c r="S6" s="119" t="n">
        <f>W6</f>
        <v>0</v>
      </c>
      <c r="T6" s="119" t="n">
        <f>Y6+AC6+AG6+AK6+AO6+AS6+AW6+AY6</f>
        <v>3</v>
      </c>
      <c r="U6" s="119" t="n">
        <f>Z6+AD6+AH6+AL6+AP6+AT6+AZ6</f>
        <v>0</v>
      </c>
      <c r="V6" s="119" t="n">
        <f>BC6+BE6</f>
        <v>0</v>
      </c>
      <c r="W6" s="60"/>
      <c r="X6" s="60" t="n">
        <f>W6*1696</f>
        <v>0</v>
      </c>
      <c r="Y6" s="120"/>
      <c r="Z6" s="120"/>
      <c r="AA6" s="120"/>
      <c r="AB6" s="120" t="n">
        <f>Z6*995</f>
        <v>0</v>
      </c>
      <c r="AC6" s="121"/>
      <c r="AD6" s="121"/>
      <c r="AE6" s="121" t="n">
        <f>AC6*1696</f>
        <v>0</v>
      </c>
      <c r="AF6" s="121" t="n">
        <f>AD6*995</f>
        <v>0</v>
      </c>
      <c r="AG6" s="120"/>
      <c r="AH6" s="120"/>
      <c r="AI6" s="120"/>
      <c r="AJ6" s="120" t="n">
        <f>AH6*995</f>
        <v>0</v>
      </c>
      <c r="AK6" s="61"/>
      <c r="AL6" s="61"/>
      <c r="AM6" s="61"/>
      <c r="AN6" s="61" t="n">
        <f>AL6*995</f>
        <v>0</v>
      </c>
      <c r="AO6" s="60"/>
      <c r="AP6" s="60"/>
      <c r="AQ6" s="60"/>
      <c r="AR6" s="60" t="n">
        <f>AP6*995</f>
        <v>0</v>
      </c>
      <c r="AS6" s="122" t="n">
        <v>3</v>
      </c>
      <c r="AT6" s="122"/>
      <c r="AU6" s="122" t="n">
        <f>AS6*1696</f>
        <v>5088</v>
      </c>
      <c r="AV6" s="122" t="n">
        <f>AT6*995</f>
        <v>0</v>
      </c>
      <c r="AW6" s="121"/>
      <c r="AX6" s="121"/>
      <c r="AY6" s="66"/>
      <c r="AZ6" s="66"/>
      <c r="BA6" s="66"/>
      <c r="BB6" s="123" t="n">
        <f>AZ6*995</f>
        <v>0</v>
      </c>
      <c r="BC6" s="67"/>
      <c r="BD6" s="124" t="n">
        <f>BC6*320</f>
        <v>0</v>
      </c>
      <c r="BE6" s="60"/>
      <c r="BF6" s="60" t="n">
        <f>BE6*320</f>
        <v>0</v>
      </c>
      <c r="BG6" s="125" t="n">
        <f>SUM(BH6:BL6)</f>
        <v>0</v>
      </c>
      <c r="BH6" s="61"/>
      <c r="BI6" s="61"/>
      <c r="BJ6" s="61"/>
      <c r="BK6" s="61"/>
      <c r="BL6" s="61"/>
      <c r="BM6" s="116"/>
      <c r="BN6" s="53"/>
      <c r="BO6" s="53"/>
      <c r="BP6" s="53"/>
      <c r="BQ6" s="53"/>
      <c r="BR6" s="54" t="n">
        <f>SUM(BT6,BW6,BX6,BZ6,CB6)</f>
        <v>0</v>
      </c>
      <c r="BS6" s="60"/>
      <c r="BT6" s="55"/>
      <c r="BU6" s="66"/>
      <c r="BV6" s="66"/>
      <c r="BW6" s="56"/>
      <c r="BX6" s="56" t="n">
        <f>BV6*995</f>
        <v>0</v>
      </c>
      <c r="BY6" s="67"/>
      <c r="BZ6" s="58" t="n">
        <f>BY6*320</f>
        <v>0</v>
      </c>
      <c r="CA6" s="68"/>
      <c r="CB6" s="59" t="n">
        <f>CA6*320</f>
        <v>0</v>
      </c>
      <c r="CC6" s="53" t="n">
        <f>SUM(CD6:CH6)</f>
        <v>0</v>
      </c>
      <c r="CD6" s="61"/>
      <c r="CE6" s="61"/>
      <c r="CF6" s="61"/>
      <c r="CG6" s="61"/>
      <c r="CH6" s="62"/>
      <c r="CI6" s="47"/>
      <c r="CJ6" s="129"/>
      <c r="CK6" s="129"/>
      <c r="CL6" s="37"/>
    </row>
    <row r="7" s="7" customFormat="1" ht="30" customHeight="1">
      <c r="A7" s="48" t="n">
        <v>3</v>
      </c>
      <c r="B7" s="131"/>
      <c r="C7" s="114" t="s">
        <v>558</v>
      </c>
      <c r="D7" s="132"/>
      <c r="E7" s="359"/>
      <c r="F7" s="499" t="s">
        <v>567</v>
      </c>
      <c r="G7" s="132"/>
      <c r="H7" s="118" t="s">
        <v>563</v>
      </c>
      <c r="I7" s="133"/>
      <c r="J7" s="53"/>
      <c r="K7" s="53"/>
      <c r="L7" s="53"/>
      <c r="M7" s="53"/>
      <c r="N7" s="119" t="n">
        <f>O7+P7+Q7+R7</f>
        <v>5088</v>
      </c>
      <c r="O7" s="119" t="n">
        <f>X7</f>
        <v>0</v>
      </c>
      <c r="P7" s="119" t="n">
        <f>AA7+AE7+AI7+AM7+AQ7+AU7+AX7+BA7</f>
        <v>5088</v>
      </c>
      <c r="Q7" s="119" t="n">
        <f>AB7+AF7+AJ7+AN7+AR7+AV7+BB7</f>
        <v>0</v>
      </c>
      <c r="R7" s="119" t="n">
        <f>BD7+BF7</f>
        <v>0</v>
      </c>
      <c r="S7" s="119" t="n">
        <f>W7</f>
        <v>0</v>
      </c>
      <c r="T7" s="119" t="n">
        <f>Y7+AC7+AG7+AK7+AO7+AS7+AW7+AY7</f>
        <v>3</v>
      </c>
      <c r="U7" s="119" t="n">
        <f>Z7+AD7+AH7+AL7+AP7+AT7+AZ7</f>
        <v>0</v>
      </c>
      <c r="V7" s="119" t="n">
        <f>BC7+BE7</f>
        <v>0</v>
      </c>
      <c r="W7" s="60"/>
      <c r="X7" s="60" t="n">
        <f>W7*1696</f>
        <v>0</v>
      </c>
      <c r="Y7" s="120"/>
      <c r="Z7" s="120"/>
      <c r="AA7" s="120"/>
      <c r="AB7" s="120" t="n">
        <f>Z7*995</f>
        <v>0</v>
      </c>
      <c r="AC7" s="121"/>
      <c r="AD7" s="121"/>
      <c r="AE7" s="121" t="n">
        <f>AC7*1696</f>
        <v>0</v>
      </c>
      <c r="AF7" s="121" t="n">
        <f>AD7*995</f>
        <v>0</v>
      </c>
      <c r="AG7" s="120"/>
      <c r="AH7" s="120"/>
      <c r="AI7" s="120"/>
      <c r="AJ7" s="120" t="n">
        <f>AH7*995</f>
        <v>0</v>
      </c>
      <c r="AK7" s="61"/>
      <c r="AL7" s="61"/>
      <c r="AM7" s="61"/>
      <c r="AN7" s="61" t="n">
        <f>AL7*995</f>
        <v>0</v>
      </c>
      <c r="AO7" s="60"/>
      <c r="AP7" s="60"/>
      <c r="AQ7" s="60"/>
      <c r="AR7" s="60" t="n">
        <f>AP7*995</f>
        <v>0</v>
      </c>
      <c r="AS7" s="122" t="n">
        <v>3</v>
      </c>
      <c r="AT7" s="122"/>
      <c r="AU7" s="122" t="n">
        <f>AS7*1696</f>
        <v>5088</v>
      </c>
      <c r="AV7" s="122" t="n">
        <f>AT7*995</f>
        <v>0</v>
      </c>
      <c r="AW7" s="121"/>
      <c r="AX7" s="121"/>
      <c r="AY7" s="66"/>
      <c r="AZ7" s="66"/>
      <c r="BA7" s="66"/>
      <c r="BB7" s="123" t="n">
        <f>AZ7*995</f>
        <v>0</v>
      </c>
      <c r="BC7" s="67"/>
      <c r="BD7" s="124" t="n">
        <f>BC7*320</f>
        <v>0</v>
      </c>
      <c r="BE7" s="60"/>
      <c r="BF7" s="60" t="n">
        <f>BE7*320</f>
        <v>0</v>
      </c>
      <c r="BG7" s="125" t="n">
        <f>SUM(BH7:BL7)</f>
        <v>0</v>
      </c>
      <c r="BH7" s="61"/>
      <c r="BI7" s="61"/>
      <c r="BJ7" s="61"/>
      <c r="BK7" s="61"/>
      <c r="BL7" s="61"/>
      <c r="BM7" s="116"/>
      <c r="BN7" s="53"/>
      <c r="BO7" s="53"/>
      <c r="BP7" s="53"/>
      <c r="BQ7" s="53"/>
      <c r="BR7" s="54" t="n">
        <f>SUM(BT7,BW7,BX7,BZ7,CB7)</f>
        <v>0</v>
      </c>
      <c r="BS7" s="60"/>
      <c r="BT7" s="55"/>
      <c r="BU7" s="66"/>
      <c r="BV7" s="66"/>
      <c r="BW7" s="56"/>
      <c r="BX7" s="56" t="n">
        <f>BV7*995</f>
        <v>0</v>
      </c>
      <c r="BY7" s="67"/>
      <c r="BZ7" s="58" t="n">
        <f>BY7*320</f>
        <v>0</v>
      </c>
      <c r="CA7" s="68"/>
      <c r="CB7" s="59" t="n">
        <f>CA7*320</f>
        <v>0</v>
      </c>
      <c r="CC7" s="53" t="n">
        <f>SUM(CD7:CH7)</f>
        <v>0</v>
      </c>
      <c r="CD7" s="61"/>
      <c r="CE7" s="61"/>
      <c r="CF7" s="61"/>
      <c r="CG7" s="61"/>
      <c r="CH7" s="62"/>
      <c r="CI7" s="47"/>
      <c r="CJ7" s="129"/>
      <c r="CK7" s="129"/>
      <c r="CL7" s="37"/>
    </row>
    <row r="8" s="7" customFormat="1" ht="252.69230769230774" customHeight="1">
      <c r="A8" s="48" t="n">
        <v>4</v>
      </c>
      <c r="B8" s="131"/>
      <c r="C8" s="114" t="s">
        <v>558</v>
      </c>
      <c r="D8" s="134"/>
      <c r="E8" s="116" t="s">
        <v>568</v>
      </c>
      <c r="F8" s="500" t="s">
        <v>569</v>
      </c>
      <c r="G8" s="134"/>
      <c r="H8" s="118" t="s">
        <v>570</v>
      </c>
      <c r="I8" s="133"/>
      <c r="J8" s="53"/>
      <c r="K8" s="53"/>
      <c r="L8" s="53"/>
      <c r="M8" s="53"/>
      <c r="N8" s="119" t="n">
        <f>O8+P8+Q8+R8</f>
        <v>5382</v>
      </c>
      <c r="O8" s="119" t="n">
        <f>X8</f>
        <v>0</v>
      </c>
      <c r="P8" s="119" t="n">
        <f>AA8+AE8+AI8+AM8+AQ8+AU8+AX8+BA8</f>
        <v>3392</v>
      </c>
      <c r="Q8" s="119" t="n">
        <f>AB8+AF8+AJ8+AN8+AR8+AV8+BB8</f>
        <v>1990</v>
      </c>
      <c r="R8" s="119" t="n">
        <f>BD8+BF8</f>
        <v>0</v>
      </c>
      <c r="S8" s="119" t="n">
        <f>W8</f>
        <v>0</v>
      </c>
      <c r="T8" s="119" t="n">
        <f>Y8+AC8+AG8+AK8+AO8+AS8+AW8+AY8</f>
        <v>2</v>
      </c>
      <c r="U8" s="119" t="n">
        <f>Z8+AD8+AH8+AL8+AP8+AT8+AZ8</f>
        <v>2</v>
      </c>
      <c r="V8" s="119" t="n">
        <f>BC8+BE8</f>
        <v>0</v>
      </c>
      <c r="W8" s="60"/>
      <c r="X8" s="60" t="n">
        <f>W8*1696</f>
        <v>0</v>
      </c>
      <c r="Y8" s="120"/>
      <c r="Z8" s="120"/>
      <c r="AA8" s="120"/>
      <c r="AB8" s="120" t="n">
        <f>Z8*995</f>
        <v>0</v>
      </c>
      <c r="AC8" s="121"/>
      <c r="AD8" s="121"/>
      <c r="AE8" s="121" t="n">
        <f>AC8*1696</f>
        <v>0</v>
      </c>
      <c r="AF8" s="121" t="n">
        <f>AD8*995</f>
        <v>0</v>
      </c>
      <c r="AG8" s="120"/>
      <c r="AH8" s="120" t="n">
        <v>2</v>
      </c>
      <c r="AI8" s="120"/>
      <c r="AJ8" s="120" t="n">
        <f>AH8*995</f>
        <v>1990</v>
      </c>
      <c r="AK8" s="61"/>
      <c r="AL8" s="61"/>
      <c r="AM8" s="61"/>
      <c r="AN8" s="61" t="n">
        <f>AL8*995</f>
        <v>0</v>
      </c>
      <c r="AO8" s="60"/>
      <c r="AP8" s="60"/>
      <c r="AQ8" s="60"/>
      <c r="AR8" s="60" t="n">
        <f>AP8*995</f>
        <v>0</v>
      </c>
      <c r="AS8" s="122" t="n">
        <v>2</v>
      </c>
      <c r="AT8" s="122"/>
      <c r="AU8" s="122" t="n">
        <f>AS8*1696</f>
        <v>3392</v>
      </c>
      <c r="AV8" s="122" t="n">
        <f>AT8*995</f>
        <v>0</v>
      </c>
      <c r="AW8" s="121"/>
      <c r="AX8" s="121"/>
      <c r="AY8" s="66"/>
      <c r="AZ8" s="66"/>
      <c r="BA8" s="66"/>
      <c r="BB8" s="123" t="n">
        <f>AZ8*995</f>
        <v>0</v>
      </c>
      <c r="BC8" s="67"/>
      <c r="BD8" s="124" t="n">
        <f>BC8*320</f>
        <v>0</v>
      </c>
      <c r="BE8" s="60"/>
      <c r="BF8" s="60" t="n">
        <f>BE8*320</f>
        <v>0</v>
      </c>
      <c r="BG8" s="125" t="n">
        <f>SUM(BH8:BL8)</f>
        <v>0</v>
      </c>
      <c r="BH8" s="61"/>
      <c r="BI8" s="61"/>
      <c r="BJ8" s="61"/>
      <c r="BK8" s="61"/>
      <c r="BL8" s="61"/>
      <c r="BM8" s="116"/>
      <c r="BN8" s="53"/>
      <c r="BO8" s="53"/>
      <c r="BP8" s="53"/>
      <c r="BQ8" s="53"/>
      <c r="BR8" s="54" t="n">
        <f>SUM(BT8,BW8,BX8,BZ8,CB8)</f>
        <v>0</v>
      </c>
      <c r="BS8" s="60"/>
      <c r="BT8" s="55"/>
      <c r="BU8" s="66"/>
      <c r="BV8" s="66"/>
      <c r="BW8" s="56"/>
      <c r="BX8" s="56" t="n">
        <f>BV8*995</f>
        <v>0</v>
      </c>
      <c r="BY8" s="67"/>
      <c r="BZ8" s="58" t="n">
        <f>BY8*320</f>
        <v>0</v>
      </c>
      <c r="CA8" s="68"/>
      <c r="CB8" s="59" t="n">
        <f>CA8*320</f>
        <v>0</v>
      </c>
      <c r="CC8" s="53" t="n">
        <f>SUM(CD8:CH8)</f>
        <v>0</v>
      </c>
      <c r="CD8" s="61"/>
      <c r="CE8" s="61"/>
      <c r="CF8" s="61"/>
      <c r="CG8" s="61"/>
      <c r="CH8" s="62"/>
      <c r="CI8" s="47"/>
      <c r="CJ8" s="129"/>
      <c r="CK8" s="129"/>
      <c r="CL8" s="37"/>
    </row>
    <row r="9" s="7" customFormat="1" ht="30" customHeight="1">
      <c r="A9" s="48" t="n">
        <v>5</v>
      </c>
      <c r="B9" s="131"/>
      <c r="C9" s="114" t="s">
        <v>425</v>
      </c>
      <c r="D9" s="115" t="s">
        <v>571</v>
      </c>
      <c r="E9" s="116" t="s">
        <v>572</v>
      </c>
      <c r="F9" s="135" t="s">
        <v>573</v>
      </c>
      <c r="G9" s="355" t="s">
        <v>571</v>
      </c>
      <c r="H9" s="118" t="s">
        <v>570</v>
      </c>
      <c r="I9" s="133"/>
      <c r="J9" s="53"/>
      <c r="K9" s="53"/>
      <c r="L9" s="53"/>
      <c r="M9" s="53"/>
      <c r="N9" s="119" t="n">
        <f>O9+P9+Q9+R9</f>
        <v>1843</v>
      </c>
      <c r="O9" s="119" t="n">
        <f>X9</f>
        <v>0</v>
      </c>
      <c r="P9" s="119" t="n">
        <f>AA9+AE9+AI9+AM9+AQ9+AU9+AX9+BA9</f>
        <v>848</v>
      </c>
      <c r="Q9" s="119" t="n">
        <f>AB9+AF9+AJ9+AN9+AR9+AV9+BB9</f>
        <v>995</v>
      </c>
      <c r="R9" s="119" t="n">
        <f>BD9+BF9</f>
        <v>0</v>
      </c>
      <c r="S9" s="119" t="n">
        <f>W9</f>
        <v>0</v>
      </c>
      <c r="T9" s="119" t="n">
        <f>Y9+AC9+AG9+AK9+AO9+AS9+AW9+AY9</f>
        <v>0.5</v>
      </c>
      <c r="U9" s="119" t="n">
        <f>Z9+AD9+AH9+AL9+AP9+AT9+AZ9</f>
        <v>1</v>
      </c>
      <c r="V9" s="119" t="n">
        <f>BC9+BE9</f>
        <v>0</v>
      </c>
      <c r="W9" s="60"/>
      <c r="X9" s="60" t="n">
        <f>W9*1696</f>
        <v>0</v>
      </c>
      <c r="Y9" s="120"/>
      <c r="Z9" s="120"/>
      <c r="AA9" s="120"/>
      <c r="AB9" s="120" t="n">
        <f>Z9*995</f>
        <v>0</v>
      </c>
      <c r="AC9" s="121"/>
      <c r="AD9" s="121"/>
      <c r="AE9" s="121" t="n">
        <f>AC9*1696</f>
        <v>0</v>
      </c>
      <c r="AF9" s="121" t="n">
        <f>AD9*995</f>
        <v>0</v>
      </c>
      <c r="AG9" s="120"/>
      <c r="AH9" s="120" t="n">
        <v>1</v>
      </c>
      <c r="AI9" s="120"/>
      <c r="AJ9" s="120" t="n">
        <f>AH9*995</f>
        <v>995</v>
      </c>
      <c r="AK9" s="61"/>
      <c r="AL9" s="61"/>
      <c r="AM9" s="61"/>
      <c r="AN9" s="61" t="n">
        <f>AL9*995</f>
        <v>0</v>
      </c>
      <c r="AO9" s="60"/>
      <c r="AP9" s="60"/>
      <c r="AQ9" s="60"/>
      <c r="AR9" s="60" t="n">
        <f>AP9*995</f>
        <v>0</v>
      </c>
      <c r="AS9" s="122" t="n">
        <v>0.5</v>
      </c>
      <c r="AT9" s="122"/>
      <c r="AU9" s="122" t="n">
        <f>AS9*1696</f>
        <v>848</v>
      </c>
      <c r="AV9" s="122" t="n">
        <f>AT9*995</f>
        <v>0</v>
      </c>
      <c r="AW9" s="121"/>
      <c r="AX9" s="121"/>
      <c r="AY9" s="66"/>
      <c r="AZ9" s="66"/>
      <c r="BA9" s="66"/>
      <c r="BB9" s="123" t="n">
        <f>AZ9*995</f>
        <v>0</v>
      </c>
      <c r="BC9" s="67"/>
      <c r="BD9" s="124" t="n">
        <f>BC9*320</f>
        <v>0</v>
      </c>
      <c r="BE9" s="60"/>
      <c r="BF9" s="60" t="n">
        <f>BE9*320</f>
        <v>0</v>
      </c>
      <c r="BG9" s="125" t="n">
        <f>SUM(BH9:BL9)</f>
        <v>0</v>
      </c>
      <c r="BH9" s="61"/>
      <c r="BI9" s="61"/>
      <c r="BJ9" s="61"/>
      <c r="BK9" s="61"/>
      <c r="BL9" s="61"/>
      <c r="BM9" s="116"/>
      <c r="BN9" s="53"/>
      <c r="BO9" s="53"/>
      <c r="BP9" s="53"/>
      <c r="BQ9" s="53"/>
      <c r="BR9" s="54" t="n">
        <f>SUM(BT9,BW9,BX9,BZ9,CB9)</f>
        <v>0</v>
      </c>
      <c r="BS9" s="60"/>
      <c r="BT9" s="55"/>
      <c r="BU9" s="66"/>
      <c r="BV9" s="66"/>
      <c r="BW9" s="56"/>
      <c r="BX9" s="56" t="n">
        <f>BV9*995</f>
        <v>0</v>
      </c>
      <c r="BY9" s="67"/>
      <c r="BZ9" s="58" t="n">
        <f>BY9*320</f>
        <v>0</v>
      </c>
      <c r="CA9" s="68"/>
      <c r="CB9" s="59" t="n">
        <f>CA9*320</f>
        <v>0</v>
      </c>
      <c r="CC9" s="53" t="n">
        <f>SUM(CD9:CH9)</f>
        <v>0</v>
      </c>
      <c r="CD9" s="61"/>
      <c r="CE9" s="61"/>
      <c r="CF9" s="61"/>
      <c r="CG9" s="61"/>
      <c r="CH9" s="62"/>
      <c r="CI9" s="47"/>
      <c r="CJ9" s="129"/>
      <c r="CK9" s="129"/>
      <c r="CL9" s="37"/>
    </row>
    <row r="10" s="7" customFormat="1" ht="30" customHeight="1">
      <c r="A10" s="48" t="n">
        <v>6</v>
      </c>
      <c r="B10" s="131"/>
      <c r="C10" s="114" t="s">
        <v>425</v>
      </c>
      <c r="D10" s="353"/>
      <c r="E10" s="116" t="s">
        <v>574</v>
      </c>
      <c r="F10" s="135" t="s">
        <v>575</v>
      </c>
      <c r="G10" s="356"/>
      <c r="H10" s="118" t="s">
        <v>570</v>
      </c>
      <c r="I10" s="133"/>
      <c r="J10" s="53"/>
      <c r="K10" s="53"/>
      <c r="L10" s="53"/>
      <c r="M10" s="53"/>
      <c r="N10" s="119" t="n">
        <f>O10+P10+Q10+R10</f>
        <v>1843</v>
      </c>
      <c r="O10" s="119" t="n">
        <f>X10</f>
        <v>0</v>
      </c>
      <c r="P10" s="119" t="n">
        <f>AA10+AE10+AI10+AM10+AQ10+AU10+AX10+BA10</f>
        <v>848</v>
      </c>
      <c r="Q10" s="119" t="n">
        <f>AB10+AF10+AJ10+AN10+AR10+AV10+BB10</f>
        <v>995</v>
      </c>
      <c r="R10" s="119" t="n">
        <f>BD10+BF10</f>
        <v>0</v>
      </c>
      <c r="S10" s="119" t="n">
        <f>W10</f>
        <v>0</v>
      </c>
      <c r="T10" s="119" t="n">
        <f>Y10+AC10+AG10+AK10+AO10+AS10+AW10+AY10</f>
        <v>0.5</v>
      </c>
      <c r="U10" s="119" t="n">
        <f>Z10+AD10+AH10+AL10+AP10+AT10+AZ10</f>
        <v>1</v>
      </c>
      <c r="V10" s="119" t="n">
        <f>BC10+BE10</f>
        <v>0</v>
      </c>
      <c r="W10" s="60"/>
      <c r="X10" s="60" t="n">
        <f>W10*1696</f>
        <v>0</v>
      </c>
      <c r="Y10" s="120"/>
      <c r="Z10" s="120"/>
      <c r="AA10" s="120"/>
      <c r="AB10" s="120" t="n">
        <f>Z10*995</f>
        <v>0</v>
      </c>
      <c r="AC10" s="121"/>
      <c r="AD10" s="121"/>
      <c r="AE10" s="121" t="n">
        <f>AC10*1696</f>
        <v>0</v>
      </c>
      <c r="AF10" s="121" t="n">
        <f>AD10*995</f>
        <v>0</v>
      </c>
      <c r="AG10" s="120"/>
      <c r="AH10" s="120" t="n">
        <v>1</v>
      </c>
      <c r="AI10" s="120"/>
      <c r="AJ10" s="120" t="n">
        <f>AH10*995</f>
        <v>995</v>
      </c>
      <c r="AK10" s="61"/>
      <c r="AL10" s="61"/>
      <c r="AM10" s="61"/>
      <c r="AN10" s="61" t="n">
        <f>AL10*995</f>
        <v>0</v>
      </c>
      <c r="AO10" s="60"/>
      <c r="AP10" s="60"/>
      <c r="AQ10" s="60"/>
      <c r="AR10" s="60" t="n">
        <f>AP10*995</f>
        <v>0</v>
      </c>
      <c r="AS10" s="122" t="n">
        <v>0.5</v>
      </c>
      <c r="AT10" s="122"/>
      <c r="AU10" s="122" t="n">
        <f>AS10*1696</f>
        <v>848</v>
      </c>
      <c r="AV10" s="122" t="n">
        <f>AT10*995</f>
        <v>0</v>
      </c>
      <c r="AW10" s="121"/>
      <c r="AX10" s="121"/>
      <c r="AY10" s="66"/>
      <c r="AZ10" s="66"/>
      <c r="BA10" s="66"/>
      <c r="BB10" s="123" t="n">
        <f>AZ10*995</f>
        <v>0</v>
      </c>
      <c r="BC10" s="67"/>
      <c r="BD10" s="124" t="n">
        <f>BC10*320</f>
        <v>0</v>
      </c>
      <c r="BE10" s="60"/>
      <c r="BF10" s="60" t="n">
        <f>BE10*320</f>
        <v>0</v>
      </c>
      <c r="BG10" s="125" t="n">
        <f>SUM(BH10:BL10)</f>
        <v>0</v>
      </c>
      <c r="BH10" s="61"/>
      <c r="BI10" s="61"/>
      <c r="BJ10" s="61"/>
      <c r="BK10" s="61"/>
      <c r="BL10" s="61"/>
      <c r="BM10" s="116"/>
      <c r="BN10" s="53"/>
      <c r="BO10" s="53"/>
      <c r="BP10" s="53"/>
      <c r="BQ10" s="53"/>
      <c r="BR10" s="54" t="n">
        <f>SUM(BT10,BW10,BX10,BZ10,CB10)</f>
        <v>0</v>
      </c>
      <c r="BS10" s="60"/>
      <c r="BT10" s="55"/>
      <c r="BU10" s="66"/>
      <c r="BV10" s="66"/>
      <c r="BW10" s="56"/>
      <c r="BX10" s="56" t="n">
        <f>BV10*995</f>
        <v>0</v>
      </c>
      <c r="BY10" s="67"/>
      <c r="BZ10" s="58" t="n">
        <f>BY10*320</f>
        <v>0</v>
      </c>
      <c r="CA10" s="68"/>
      <c r="CB10" s="59" t="n">
        <f>CA10*320</f>
        <v>0</v>
      </c>
      <c r="CC10" s="53" t="n">
        <f>SUM(CD10:CH10)</f>
        <v>0</v>
      </c>
      <c r="CD10" s="61"/>
      <c r="CE10" s="61"/>
      <c r="CF10" s="61"/>
      <c r="CG10" s="61"/>
      <c r="CH10" s="62"/>
      <c r="CI10" s="47"/>
      <c r="CJ10" s="129"/>
      <c r="CK10" s="129"/>
      <c r="CL10" s="37"/>
    </row>
    <row r="11" s="7" customFormat="1" ht="30" customHeight="1">
      <c r="A11" s="48" t="n">
        <v>7</v>
      </c>
      <c r="B11" s="131"/>
      <c r="C11" s="114" t="s">
        <v>425</v>
      </c>
      <c r="D11" s="353"/>
      <c r="E11" s="116" t="s">
        <v>576</v>
      </c>
      <c r="F11" s="501" t="s">
        <v>577</v>
      </c>
      <c r="G11" s="356"/>
      <c r="H11" s="118" t="s">
        <v>570</v>
      </c>
      <c r="I11" s="133"/>
      <c r="J11" s="53"/>
      <c r="K11" s="53"/>
      <c r="L11" s="53"/>
      <c r="M11" s="53"/>
      <c r="N11" s="119" t="n">
        <f>O11+P11+Q11+R11</f>
        <v>2838</v>
      </c>
      <c r="O11" s="119" t="n">
        <f>X11</f>
        <v>0</v>
      </c>
      <c r="P11" s="119" t="n">
        <f>AA11+AE11+AI11+AM11+AQ11+AU11+AX11+BA11</f>
        <v>848</v>
      </c>
      <c r="Q11" s="119" t="n">
        <f>AB11+AF11+AJ11+AN11+AR11+AV11+BB11</f>
        <v>1990</v>
      </c>
      <c r="R11" s="119" t="n">
        <f>BD11+BF11</f>
        <v>0</v>
      </c>
      <c r="S11" s="119" t="n">
        <f>W11</f>
        <v>0</v>
      </c>
      <c r="T11" s="119" t="n">
        <f>Y11+AC11+AG11+AK11+AO11+AS11+AW11+AY11</f>
        <v>0.5</v>
      </c>
      <c r="U11" s="119" t="n">
        <f>Z11+AD11+AH11+AL11+AP11+AT11+AZ11</f>
        <v>2</v>
      </c>
      <c r="V11" s="119" t="n">
        <f>BC11+BE11</f>
        <v>0</v>
      </c>
      <c r="W11" s="60"/>
      <c r="X11" s="60" t="n">
        <f>W11*1696</f>
        <v>0</v>
      </c>
      <c r="Y11" s="120"/>
      <c r="Z11" s="120"/>
      <c r="AA11" s="120"/>
      <c r="AB11" s="120" t="n">
        <f>Z11*995</f>
        <v>0</v>
      </c>
      <c r="AC11" s="121"/>
      <c r="AD11" s="121"/>
      <c r="AE11" s="121" t="n">
        <f>AC11*1696</f>
        <v>0</v>
      </c>
      <c r="AF11" s="121" t="n">
        <f>AD11*995</f>
        <v>0</v>
      </c>
      <c r="AG11" s="120"/>
      <c r="AH11" s="120" t="n">
        <v>1</v>
      </c>
      <c r="AI11" s="120"/>
      <c r="AJ11" s="120" t="n">
        <f>AH11*995</f>
        <v>995</v>
      </c>
      <c r="AK11" s="61"/>
      <c r="AL11" s="61" t="n">
        <v>1</v>
      </c>
      <c r="AM11" s="61"/>
      <c r="AN11" s="61" t="n">
        <f>AL11*995</f>
        <v>995</v>
      </c>
      <c r="AO11" s="60"/>
      <c r="AP11" s="60"/>
      <c r="AQ11" s="60"/>
      <c r="AR11" s="60" t="n">
        <f>AP11*995</f>
        <v>0</v>
      </c>
      <c r="AS11" s="122" t="n">
        <v>0.5</v>
      </c>
      <c r="AT11" s="122"/>
      <c r="AU11" s="122" t="n">
        <f>AS11*1696</f>
        <v>848</v>
      </c>
      <c r="AV11" s="122" t="n">
        <f>AT11*995</f>
        <v>0</v>
      </c>
      <c r="AW11" s="121"/>
      <c r="AX11" s="121"/>
      <c r="AY11" s="66"/>
      <c r="AZ11" s="66"/>
      <c r="BA11" s="66"/>
      <c r="BB11" s="123" t="n">
        <f>AZ11*995</f>
        <v>0</v>
      </c>
      <c r="BC11" s="67"/>
      <c r="BD11" s="124" t="n">
        <f>BC11*320</f>
        <v>0</v>
      </c>
      <c r="BE11" s="60"/>
      <c r="BF11" s="60" t="n">
        <f>BE11*320</f>
        <v>0</v>
      </c>
      <c r="BG11" s="125" t="n">
        <f>SUM(BH11:BL11)</f>
        <v>0</v>
      </c>
      <c r="BH11" s="61"/>
      <c r="BI11" s="61"/>
      <c r="BJ11" s="61"/>
      <c r="BK11" s="61"/>
      <c r="BL11" s="61"/>
      <c r="BM11" s="116"/>
      <c r="BN11" s="53"/>
      <c r="BO11" s="53"/>
      <c r="BP11" s="53"/>
      <c r="BQ11" s="53"/>
      <c r="BR11" s="54" t="n">
        <f>SUM(BT11,BW11,BX11,BZ11,CB11)</f>
        <v>0</v>
      </c>
      <c r="BS11" s="60"/>
      <c r="BT11" s="55"/>
      <c r="BU11" s="66"/>
      <c r="BV11" s="66"/>
      <c r="BW11" s="56"/>
      <c r="BX11" s="56" t="n">
        <f>BV11*995</f>
        <v>0</v>
      </c>
      <c r="BY11" s="67"/>
      <c r="BZ11" s="58" t="n">
        <f>BY11*320</f>
        <v>0</v>
      </c>
      <c r="CA11" s="68"/>
      <c r="CB11" s="59" t="n">
        <f>CA11*320</f>
        <v>0</v>
      </c>
      <c r="CC11" s="53" t="n">
        <f>SUM(CD11:CH11)</f>
        <v>0</v>
      </c>
      <c r="CD11" s="61"/>
      <c r="CE11" s="61"/>
      <c r="CF11" s="61"/>
      <c r="CG11" s="61"/>
      <c r="CH11" s="62"/>
      <c r="CI11" s="47"/>
      <c r="CJ11" s="129"/>
      <c r="CK11" s="129"/>
      <c r="CL11" s="37"/>
    </row>
    <row r="12" s="7" customFormat="1" ht="30" customHeight="1">
      <c r="A12" s="48" t="n">
        <v>8</v>
      </c>
      <c r="B12" s="131"/>
      <c r="C12" s="114" t="s">
        <v>425</v>
      </c>
      <c r="D12" s="353"/>
      <c r="E12" s="116" t="s">
        <v>578</v>
      </c>
      <c r="F12" s="502" t="s">
        <v>579</v>
      </c>
      <c r="G12" s="356"/>
      <c r="H12" s="118" t="s">
        <v>570</v>
      </c>
      <c r="I12" s="133"/>
      <c r="J12" s="53"/>
      <c r="K12" s="53"/>
      <c r="L12" s="53"/>
      <c r="M12" s="53"/>
      <c r="N12" s="119" t="n">
        <f>O12+P12+Q12+R12</f>
        <v>2838</v>
      </c>
      <c r="O12" s="119" t="n">
        <f>X12</f>
        <v>0</v>
      </c>
      <c r="P12" s="119" t="n">
        <f>AA12+AE12+AI12+AM12+AQ12+AU12+AX12+BA12</f>
        <v>848</v>
      </c>
      <c r="Q12" s="119" t="n">
        <f>AB12+AF12+AJ12+AN12+AR12+AV12+BB12</f>
        <v>1990</v>
      </c>
      <c r="R12" s="119" t="n">
        <f>BD12+BF12</f>
        <v>0</v>
      </c>
      <c r="S12" s="119" t="n">
        <f>W12</f>
        <v>0</v>
      </c>
      <c r="T12" s="119" t="n">
        <f>Y12+AC12+AG12+AK12+AO12+AS12+AW12+AY12</f>
        <v>0.5</v>
      </c>
      <c r="U12" s="119" t="n">
        <f>Z12+AD12+AH12+AL12+AP12+AT12+AZ12</f>
        <v>2</v>
      </c>
      <c r="V12" s="119" t="n">
        <f>BC12+BE12</f>
        <v>0</v>
      </c>
      <c r="W12" s="60"/>
      <c r="X12" s="60" t="n">
        <f>W12*1696</f>
        <v>0</v>
      </c>
      <c r="Y12" s="120"/>
      <c r="Z12" s="120"/>
      <c r="AA12" s="120"/>
      <c r="AB12" s="120" t="n">
        <f>Z12*995</f>
        <v>0</v>
      </c>
      <c r="AC12" s="121"/>
      <c r="AD12" s="121"/>
      <c r="AE12" s="121" t="n">
        <f>AC12*1696</f>
        <v>0</v>
      </c>
      <c r="AF12" s="121" t="n">
        <f>AD12*995</f>
        <v>0</v>
      </c>
      <c r="AG12" s="120"/>
      <c r="AH12" s="120" t="n">
        <v>1</v>
      </c>
      <c r="AI12" s="120"/>
      <c r="AJ12" s="120" t="n">
        <f>AH12*995</f>
        <v>995</v>
      </c>
      <c r="AK12" s="61"/>
      <c r="AL12" s="61" t="n">
        <v>1</v>
      </c>
      <c r="AM12" s="61"/>
      <c r="AN12" s="61" t="n">
        <f>AL12*995</f>
        <v>995</v>
      </c>
      <c r="AO12" s="60"/>
      <c r="AP12" s="60"/>
      <c r="AQ12" s="60"/>
      <c r="AR12" s="60" t="n">
        <f>AP12*995</f>
        <v>0</v>
      </c>
      <c r="AS12" s="122" t="n">
        <v>0.5</v>
      </c>
      <c r="AT12" s="122"/>
      <c r="AU12" s="122" t="n">
        <f>AS12*1696</f>
        <v>848</v>
      </c>
      <c r="AV12" s="122" t="n">
        <f>AT12*995</f>
        <v>0</v>
      </c>
      <c r="AW12" s="121"/>
      <c r="AX12" s="121"/>
      <c r="AY12" s="66"/>
      <c r="AZ12" s="66"/>
      <c r="BA12" s="66"/>
      <c r="BB12" s="123" t="n">
        <f>AZ12*995</f>
        <v>0</v>
      </c>
      <c r="BC12" s="67"/>
      <c r="BD12" s="124" t="n">
        <f>BC12*320</f>
        <v>0</v>
      </c>
      <c r="BE12" s="60"/>
      <c r="BF12" s="60" t="n">
        <f>BE12*320</f>
        <v>0</v>
      </c>
      <c r="BG12" s="125" t="n">
        <f>SUM(BH12:BL12)</f>
        <v>0</v>
      </c>
      <c r="BH12" s="61"/>
      <c r="BI12" s="61"/>
      <c r="BJ12" s="61"/>
      <c r="BK12" s="61"/>
      <c r="BL12" s="61"/>
      <c r="BM12" s="116"/>
      <c r="BN12" s="53"/>
      <c r="BO12" s="53"/>
      <c r="BP12" s="53"/>
      <c r="BQ12" s="53"/>
      <c r="BR12" s="54" t="n">
        <f>SUM(BT12,BW12,BX12,BZ12,CB12)</f>
        <v>0</v>
      </c>
      <c r="BS12" s="60"/>
      <c r="BT12" s="55"/>
      <c r="BU12" s="66"/>
      <c r="BV12" s="66"/>
      <c r="BW12" s="56"/>
      <c r="BX12" s="56" t="n">
        <f>BV12*995</f>
        <v>0</v>
      </c>
      <c r="BY12" s="67"/>
      <c r="BZ12" s="58" t="n">
        <f>BY12*320</f>
        <v>0</v>
      </c>
      <c r="CA12" s="68"/>
      <c r="CB12" s="59" t="n">
        <f>CA12*320</f>
        <v>0</v>
      </c>
      <c r="CC12" s="53" t="n">
        <f>SUM(CD12:CH12)</f>
        <v>0</v>
      </c>
      <c r="CD12" s="61"/>
      <c r="CE12" s="61"/>
      <c r="CF12" s="61"/>
      <c r="CG12" s="61"/>
      <c r="CH12" s="62"/>
      <c r="CI12" s="47"/>
      <c r="CJ12" s="129"/>
      <c r="CK12" s="129"/>
      <c r="CL12" s="37"/>
    </row>
    <row r="13" s="7" customFormat="1" ht="30" customHeight="1">
      <c r="A13" s="48" t="n">
        <v>9</v>
      </c>
      <c r="B13" s="131"/>
      <c r="C13" s="114" t="s">
        <v>425</v>
      </c>
      <c r="D13" s="353"/>
      <c r="E13" s="116" t="s">
        <v>580</v>
      </c>
      <c r="F13" s="503" t="s">
        <v>581</v>
      </c>
      <c r="G13" s="356"/>
      <c r="H13" s="118" t="s">
        <v>570</v>
      </c>
      <c r="I13" s="133"/>
      <c r="J13" s="53"/>
      <c r="K13" s="53"/>
      <c r="L13" s="53"/>
      <c r="M13" s="53"/>
      <c r="N13" s="119" t="n">
        <f>O13+P13+Q13+R13</f>
        <v>2838</v>
      </c>
      <c r="O13" s="119" t="n">
        <f>X13</f>
        <v>0</v>
      </c>
      <c r="P13" s="119" t="n">
        <f>AA13+AE13+AI13+AM13+AQ13+AU13+AX13+BA13</f>
        <v>848</v>
      </c>
      <c r="Q13" s="119" t="n">
        <f>AB13+AF13+AJ13+AN13+AR13+AV13+BB13</f>
        <v>1990</v>
      </c>
      <c r="R13" s="119" t="n">
        <f>BD13+BF13</f>
        <v>0</v>
      </c>
      <c r="S13" s="119" t="n">
        <f>W13</f>
        <v>0</v>
      </c>
      <c r="T13" s="119" t="n">
        <f>Y13+AC13+AG13+AK13+AO13+AS13+AW13+AY13</f>
        <v>0.5</v>
      </c>
      <c r="U13" s="119" t="n">
        <f>Z13+AD13+AH13+AL13+AP13+AT13+AZ13</f>
        <v>2</v>
      </c>
      <c r="V13" s="119" t="n">
        <f>BC13+BE13</f>
        <v>0</v>
      </c>
      <c r="W13" s="60"/>
      <c r="X13" s="60" t="n">
        <f>W13*1696</f>
        <v>0</v>
      </c>
      <c r="Y13" s="120"/>
      <c r="Z13" s="120"/>
      <c r="AA13" s="120"/>
      <c r="AB13" s="120" t="n">
        <f>Z13*995</f>
        <v>0</v>
      </c>
      <c r="AC13" s="121"/>
      <c r="AD13" s="121"/>
      <c r="AE13" s="121" t="n">
        <f>AC13*1696</f>
        <v>0</v>
      </c>
      <c r="AF13" s="121" t="n">
        <f>AD13*995</f>
        <v>0</v>
      </c>
      <c r="AG13" s="120"/>
      <c r="AH13" s="120" t="n">
        <v>1</v>
      </c>
      <c r="AI13" s="120"/>
      <c r="AJ13" s="120" t="n">
        <f>AH13*995</f>
        <v>995</v>
      </c>
      <c r="AK13" s="61"/>
      <c r="AL13" s="61" t="n">
        <v>1</v>
      </c>
      <c r="AM13" s="61"/>
      <c r="AN13" s="61" t="n">
        <f>AL13*995</f>
        <v>995</v>
      </c>
      <c r="AO13" s="60"/>
      <c r="AP13" s="60"/>
      <c r="AQ13" s="60"/>
      <c r="AR13" s="60" t="n">
        <f>AP13*995</f>
        <v>0</v>
      </c>
      <c r="AS13" s="122" t="n">
        <v>0.5</v>
      </c>
      <c r="AT13" s="122"/>
      <c r="AU13" s="122" t="n">
        <f>AS13*1696</f>
        <v>848</v>
      </c>
      <c r="AV13" s="122" t="n">
        <f>AT13*995</f>
        <v>0</v>
      </c>
      <c r="AW13" s="121"/>
      <c r="AX13" s="121"/>
      <c r="AY13" s="66"/>
      <c r="AZ13" s="66"/>
      <c r="BA13" s="66"/>
      <c r="BB13" s="123" t="n">
        <f>AZ13*995</f>
        <v>0</v>
      </c>
      <c r="BC13" s="67"/>
      <c r="BD13" s="124" t="n">
        <f>BC13*320</f>
        <v>0</v>
      </c>
      <c r="BE13" s="60"/>
      <c r="BF13" s="60" t="n">
        <f>BE13*320</f>
        <v>0</v>
      </c>
      <c r="BG13" s="125" t="n">
        <f>SUM(BH13:BL13)</f>
        <v>0</v>
      </c>
      <c r="BH13" s="61"/>
      <c r="BI13" s="61"/>
      <c r="BJ13" s="61"/>
      <c r="BK13" s="61"/>
      <c r="BL13" s="61"/>
      <c r="BM13" s="116"/>
      <c r="BN13" s="53"/>
      <c r="BO13" s="53"/>
      <c r="BP13" s="53"/>
      <c r="BQ13" s="53"/>
      <c r="BR13" s="54" t="n">
        <f>SUM(BT13,BW13,BX13,BZ13,CB13)</f>
        <v>0</v>
      </c>
      <c r="BS13" s="60"/>
      <c r="BT13" s="55"/>
      <c r="BU13" s="66"/>
      <c r="BV13" s="66"/>
      <c r="BW13" s="56"/>
      <c r="BX13" s="56" t="n">
        <f>BV13*995</f>
        <v>0</v>
      </c>
      <c r="BY13" s="67"/>
      <c r="BZ13" s="58" t="n">
        <f>BY13*320</f>
        <v>0</v>
      </c>
      <c r="CA13" s="68"/>
      <c r="CB13" s="59" t="n">
        <f>CA13*320</f>
        <v>0</v>
      </c>
      <c r="CC13" s="53" t="n">
        <f>SUM(CD13:CH13)</f>
        <v>0</v>
      </c>
      <c r="CD13" s="61"/>
      <c r="CE13" s="61"/>
      <c r="CF13" s="61"/>
      <c r="CG13" s="61"/>
      <c r="CH13" s="62"/>
      <c r="CI13" s="47"/>
      <c r="CJ13" s="129"/>
      <c r="CK13" s="129"/>
      <c r="CL13" s="37"/>
    </row>
    <row r="14" s="7" customFormat="1" ht="30" customHeight="1">
      <c r="A14" s="48" t="n">
        <v>10</v>
      </c>
      <c r="B14" s="131"/>
      <c r="C14" s="114" t="s">
        <v>425</v>
      </c>
      <c r="D14" s="353"/>
      <c r="E14" s="116" t="s">
        <v>582</v>
      </c>
      <c r="F14" s="504" t="s">
        <v>583</v>
      </c>
      <c r="G14" s="356"/>
      <c r="H14" s="118" t="s">
        <v>570</v>
      </c>
      <c r="I14" s="133"/>
      <c r="J14" s="53"/>
      <c r="K14" s="53"/>
      <c r="L14" s="53"/>
      <c r="M14" s="53"/>
      <c r="N14" s="119" t="n">
        <f>O14+P14+Q14+R14</f>
        <v>2838</v>
      </c>
      <c r="O14" s="119" t="n">
        <f>X14</f>
        <v>0</v>
      </c>
      <c r="P14" s="119" t="n">
        <f>AA14+AE14+AI14+AM14+AQ14+AU14+AX14+BA14</f>
        <v>848</v>
      </c>
      <c r="Q14" s="119" t="n">
        <f>AB14+AF14+AJ14+AN14+AR14+AV14+BB14</f>
        <v>1990</v>
      </c>
      <c r="R14" s="119" t="n">
        <f>BD14+BF14</f>
        <v>0</v>
      </c>
      <c r="S14" s="119" t="n">
        <f>W14</f>
        <v>0</v>
      </c>
      <c r="T14" s="119" t="n">
        <f>Y14+AC14+AG14+AK14+AO14+AS14+AW14+AY14</f>
        <v>0.5</v>
      </c>
      <c r="U14" s="119" t="n">
        <f>Z14+AD14+AH14+AL14+AP14+AT14+AZ14</f>
        <v>2</v>
      </c>
      <c r="V14" s="119" t="n">
        <f>BC14+BE14</f>
        <v>0</v>
      </c>
      <c r="W14" s="60"/>
      <c r="X14" s="60" t="n">
        <f>W14*1696</f>
        <v>0</v>
      </c>
      <c r="Y14" s="120"/>
      <c r="Z14" s="120"/>
      <c r="AA14" s="120"/>
      <c r="AB14" s="120" t="n">
        <f>Z14*995</f>
        <v>0</v>
      </c>
      <c r="AC14" s="121"/>
      <c r="AD14" s="121"/>
      <c r="AE14" s="121" t="n">
        <f>AC14*1696</f>
        <v>0</v>
      </c>
      <c r="AF14" s="121" t="n">
        <f>AD14*995</f>
        <v>0</v>
      </c>
      <c r="AG14" s="120"/>
      <c r="AH14" s="120" t="n">
        <v>1</v>
      </c>
      <c r="AI14" s="120"/>
      <c r="AJ14" s="120" t="n">
        <f>AH14*995</f>
        <v>995</v>
      </c>
      <c r="AK14" s="61"/>
      <c r="AL14" s="61" t="n">
        <v>1</v>
      </c>
      <c r="AM14" s="61"/>
      <c r="AN14" s="61" t="n">
        <f>AL14*995</f>
        <v>995</v>
      </c>
      <c r="AO14" s="60"/>
      <c r="AP14" s="60"/>
      <c r="AQ14" s="60"/>
      <c r="AR14" s="60" t="n">
        <f>AP14*995</f>
        <v>0</v>
      </c>
      <c r="AS14" s="122" t="n">
        <v>0.5</v>
      </c>
      <c r="AT14" s="122"/>
      <c r="AU14" s="122" t="n">
        <f>AS14*1696</f>
        <v>848</v>
      </c>
      <c r="AV14" s="122" t="n">
        <f>AT14*995</f>
        <v>0</v>
      </c>
      <c r="AW14" s="121"/>
      <c r="AX14" s="121"/>
      <c r="AY14" s="66"/>
      <c r="AZ14" s="66"/>
      <c r="BA14" s="66"/>
      <c r="BB14" s="123" t="n">
        <f>AZ14*995</f>
        <v>0</v>
      </c>
      <c r="BC14" s="67"/>
      <c r="BD14" s="124" t="n">
        <f>BC14*320</f>
        <v>0</v>
      </c>
      <c r="BE14" s="60"/>
      <c r="BF14" s="60" t="n">
        <f>BE14*320</f>
        <v>0</v>
      </c>
      <c r="BG14" s="125" t="n">
        <f>SUM(BH14:BL14)</f>
        <v>0</v>
      </c>
      <c r="BH14" s="61"/>
      <c r="BI14" s="61"/>
      <c r="BJ14" s="61"/>
      <c r="BK14" s="61"/>
      <c r="BL14" s="61"/>
      <c r="BM14" s="116"/>
      <c r="BN14" s="53"/>
      <c r="BO14" s="53"/>
      <c r="BP14" s="53"/>
      <c r="BQ14" s="53"/>
      <c r="BR14" s="54" t="n">
        <f>SUM(BT14,BW14,BX14,BZ14,CB14)</f>
        <v>0</v>
      </c>
      <c r="BS14" s="60"/>
      <c r="BT14" s="55"/>
      <c r="BU14" s="66"/>
      <c r="BV14" s="66"/>
      <c r="BW14" s="56"/>
      <c r="BX14" s="56" t="n">
        <f>BV14*995</f>
        <v>0</v>
      </c>
      <c r="BY14" s="67"/>
      <c r="BZ14" s="58" t="n">
        <f>BY14*320</f>
        <v>0</v>
      </c>
      <c r="CA14" s="68"/>
      <c r="CB14" s="59" t="n">
        <f>CA14*320</f>
        <v>0</v>
      </c>
      <c r="CC14" s="53" t="n">
        <f>SUM(CD14:CH14)</f>
        <v>0</v>
      </c>
      <c r="CD14" s="61"/>
      <c r="CE14" s="61"/>
      <c r="CF14" s="61"/>
      <c r="CG14" s="61"/>
      <c r="CH14" s="62"/>
      <c r="CI14" s="47"/>
      <c r="CJ14" s="129"/>
      <c r="CK14" s="129"/>
      <c r="CL14" s="37"/>
    </row>
    <row r="15" s="7" customFormat="1" ht="30" customHeight="1">
      <c r="A15" s="48" t="n">
        <v>11</v>
      </c>
      <c r="B15" s="131"/>
      <c r="C15" s="114" t="s">
        <v>425</v>
      </c>
      <c r="D15" s="353"/>
      <c r="E15" s="116" t="s">
        <v>584</v>
      </c>
      <c r="F15" s="505" t="s">
        <v>585</v>
      </c>
      <c r="G15" s="356"/>
      <c r="H15" s="118" t="s">
        <v>570</v>
      </c>
      <c r="I15" s="133"/>
      <c r="J15" s="53"/>
      <c r="K15" s="53"/>
      <c r="L15" s="53"/>
      <c r="M15" s="53"/>
      <c r="N15" s="119" t="n">
        <f>O15+P15+Q15+R15</f>
        <v>3833</v>
      </c>
      <c r="O15" s="119" t="n">
        <f>X15</f>
        <v>0</v>
      </c>
      <c r="P15" s="119" t="n">
        <f>AA15+AE15+AI15+AM15+AQ15+AU15+AX15+BA15</f>
        <v>848</v>
      </c>
      <c r="Q15" s="119" t="n">
        <f>AB15+AF15+AJ15+AN15+AR15+AV15+BB15</f>
        <v>2985</v>
      </c>
      <c r="R15" s="119" t="n">
        <f>BD15+BF15</f>
        <v>0</v>
      </c>
      <c r="S15" s="119" t="n">
        <f>W15</f>
        <v>0</v>
      </c>
      <c r="T15" s="119" t="n">
        <f>Y15+AC15+AG15+AK15+AO15+AS15+AW15+AY15</f>
        <v>0.5</v>
      </c>
      <c r="U15" s="119" t="n">
        <f>Z15+AD15+AH15+AL15+AP15+AT15+AZ15</f>
        <v>3</v>
      </c>
      <c r="V15" s="119" t="n">
        <f>BC15+BE15</f>
        <v>0</v>
      </c>
      <c r="W15" s="60"/>
      <c r="X15" s="60" t="n">
        <f>W15*1696</f>
        <v>0</v>
      </c>
      <c r="Y15" s="120"/>
      <c r="Z15" s="120"/>
      <c r="AA15" s="120"/>
      <c r="AB15" s="120" t="n">
        <f>Z15*995</f>
        <v>0</v>
      </c>
      <c r="AC15" s="121"/>
      <c r="AD15" s="121"/>
      <c r="AE15" s="121" t="n">
        <f>AC15*1696</f>
        <v>0</v>
      </c>
      <c r="AF15" s="121" t="n">
        <f>AD15*995</f>
        <v>0</v>
      </c>
      <c r="AG15" s="120"/>
      <c r="AH15" s="120" t="n">
        <v>2</v>
      </c>
      <c r="AI15" s="120"/>
      <c r="AJ15" s="120" t="n">
        <f>AH15*995</f>
        <v>1990</v>
      </c>
      <c r="AK15" s="61"/>
      <c r="AL15" s="61" t="n">
        <v>1</v>
      </c>
      <c r="AM15" s="61"/>
      <c r="AN15" s="61" t="n">
        <f>AL15*995</f>
        <v>995</v>
      </c>
      <c r="AO15" s="60"/>
      <c r="AP15" s="60"/>
      <c r="AQ15" s="60"/>
      <c r="AR15" s="60" t="n">
        <f>AP15*995</f>
        <v>0</v>
      </c>
      <c r="AS15" s="122" t="n">
        <v>0.5</v>
      </c>
      <c r="AT15" s="122"/>
      <c r="AU15" s="122" t="n">
        <f>AS15*1696</f>
        <v>848</v>
      </c>
      <c r="AV15" s="122" t="n">
        <f>AT15*995</f>
        <v>0</v>
      </c>
      <c r="AW15" s="121"/>
      <c r="AX15" s="121"/>
      <c r="AY15" s="66"/>
      <c r="AZ15" s="66"/>
      <c r="BA15" s="66"/>
      <c r="BB15" s="123" t="n">
        <f>AZ15*995</f>
        <v>0</v>
      </c>
      <c r="BC15" s="67"/>
      <c r="BD15" s="124" t="n">
        <f>BC15*320</f>
        <v>0</v>
      </c>
      <c r="BE15" s="60"/>
      <c r="BF15" s="60" t="n">
        <f>BE15*320</f>
        <v>0</v>
      </c>
      <c r="BG15" s="125" t="n">
        <f>SUM(BH15:BL15)</f>
        <v>0</v>
      </c>
      <c r="BH15" s="61"/>
      <c r="BI15" s="61"/>
      <c r="BJ15" s="61"/>
      <c r="BK15" s="61"/>
      <c r="BL15" s="61"/>
      <c r="BM15" s="116"/>
      <c r="BN15" s="53"/>
      <c r="BO15" s="53"/>
      <c r="BP15" s="53"/>
      <c r="BQ15" s="53"/>
      <c r="BR15" s="54" t="n">
        <f>SUM(BT15,BW15,BX15,BZ15,CB15)</f>
        <v>0</v>
      </c>
      <c r="BS15" s="60"/>
      <c r="BT15" s="55"/>
      <c r="BU15" s="66"/>
      <c r="BV15" s="66"/>
      <c r="BW15" s="56"/>
      <c r="BX15" s="56" t="n">
        <f>BV15*995</f>
        <v>0</v>
      </c>
      <c r="BY15" s="67"/>
      <c r="BZ15" s="58" t="n">
        <f>BY15*320</f>
        <v>0</v>
      </c>
      <c r="CA15" s="68"/>
      <c r="CB15" s="59" t="n">
        <f>CA15*320</f>
        <v>0</v>
      </c>
      <c r="CC15" s="53" t="n">
        <f>SUM(CD15:CH15)</f>
        <v>0</v>
      </c>
      <c r="CD15" s="61"/>
      <c r="CE15" s="61"/>
      <c r="CF15" s="61"/>
      <c r="CG15" s="61"/>
      <c r="CH15" s="62"/>
      <c r="CI15" s="47"/>
      <c r="CJ15" s="129"/>
      <c r="CK15" s="129"/>
      <c r="CL15" s="37"/>
    </row>
    <row r="16" s="7" customFormat="1" ht="30" customHeight="1">
      <c r="A16" s="48" t="n">
        <v>12</v>
      </c>
      <c r="B16" s="131"/>
      <c r="C16" s="114" t="s">
        <v>425</v>
      </c>
      <c r="D16" s="353"/>
      <c r="E16" s="116" t="s">
        <v>586</v>
      </c>
      <c r="F16" s="117" t="s">
        <v>587</v>
      </c>
      <c r="G16" s="356"/>
      <c r="H16" s="118" t="s">
        <v>570</v>
      </c>
      <c r="I16" s="133"/>
      <c r="J16" s="53"/>
      <c r="K16" s="53"/>
      <c r="L16" s="53"/>
      <c r="M16" s="53"/>
      <c r="N16" s="119" t="n">
        <f>O16+P16+Q16+R16</f>
        <v>3833</v>
      </c>
      <c r="O16" s="119" t="n">
        <f>X16</f>
        <v>0</v>
      </c>
      <c r="P16" s="119" t="n">
        <f>AA16+AE16+AI16+AM16+AQ16+AU16+AX16+BA16</f>
        <v>848</v>
      </c>
      <c r="Q16" s="119" t="n">
        <f>AB16+AF16+AJ16+AN16+AR16+AV16+BB16</f>
        <v>2985</v>
      </c>
      <c r="R16" s="119" t="n">
        <f>BD16+BF16</f>
        <v>0</v>
      </c>
      <c r="S16" s="119" t="n">
        <f>W16</f>
        <v>0</v>
      </c>
      <c r="T16" s="119" t="n">
        <f>Y16+AC16+AG16+AK16+AO16+AS16+AW16+AY16</f>
        <v>0.5</v>
      </c>
      <c r="U16" s="119" t="n">
        <f>Z16+AD16+AH16+AL16+AP16+AT16+AZ16</f>
        <v>3</v>
      </c>
      <c r="V16" s="119" t="n">
        <f>BC16+BE16</f>
        <v>0</v>
      </c>
      <c r="W16" s="60"/>
      <c r="X16" s="60" t="n">
        <f>W16*1696</f>
        <v>0</v>
      </c>
      <c r="Y16" s="120"/>
      <c r="Z16" s="120"/>
      <c r="AA16" s="120"/>
      <c r="AB16" s="120" t="n">
        <f>Z16*995</f>
        <v>0</v>
      </c>
      <c r="AC16" s="121"/>
      <c r="AD16" s="121"/>
      <c r="AE16" s="121" t="n">
        <f>AC16*1696</f>
        <v>0</v>
      </c>
      <c r="AF16" s="121" t="n">
        <f>AD16*995</f>
        <v>0</v>
      </c>
      <c r="AG16" s="120"/>
      <c r="AH16" s="120" t="n">
        <v>2</v>
      </c>
      <c r="AI16" s="120"/>
      <c r="AJ16" s="120" t="n">
        <f>AH16*995</f>
        <v>1990</v>
      </c>
      <c r="AK16" s="61"/>
      <c r="AL16" s="61" t="n">
        <v>1</v>
      </c>
      <c r="AM16" s="61"/>
      <c r="AN16" s="61" t="n">
        <f>AL16*995</f>
        <v>995</v>
      </c>
      <c r="AO16" s="60"/>
      <c r="AP16" s="60"/>
      <c r="AQ16" s="60"/>
      <c r="AR16" s="60" t="n">
        <f>AP16*995</f>
        <v>0</v>
      </c>
      <c r="AS16" s="122" t="n">
        <v>0.5</v>
      </c>
      <c r="AT16" s="122"/>
      <c r="AU16" s="122" t="n">
        <f>AS16*1696</f>
        <v>848</v>
      </c>
      <c r="AV16" s="122" t="n">
        <f>AT16*995</f>
        <v>0</v>
      </c>
      <c r="AW16" s="121"/>
      <c r="AX16" s="121"/>
      <c r="AY16" s="66"/>
      <c r="AZ16" s="66"/>
      <c r="BA16" s="66"/>
      <c r="BB16" s="123" t="n">
        <f>AZ16*995</f>
        <v>0</v>
      </c>
      <c r="BC16" s="67"/>
      <c r="BD16" s="124" t="n">
        <f>BC16*320</f>
        <v>0</v>
      </c>
      <c r="BE16" s="60"/>
      <c r="BF16" s="60" t="n">
        <f>BE16*320</f>
        <v>0</v>
      </c>
      <c r="BG16" s="125" t="n">
        <f>SUM(BH16:BL16)</f>
        <v>0</v>
      </c>
      <c r="BH16" s="61"/>
      <c r="BI16" s="61"/>
      <c r="BJ16" s="61"/>
      <c r="BK16" s="61"/>
      <c r="BL16" s="61"/>
      <c r="BM16" s="116"/>
      <c r="BN16" s="53"/>
      <c r="BO16" s="53"/>
      <c r="BP16" s="53"/>
      <c r="BQ16" s="53"/>
      <c r="BR16" s="54" t="n">
        <f>SUM(BT16,BW16,BX16,BZ16,CB16)</f>
        <v>0</v>
      </c>
      <c r="BS16" s="60"/>
      <c r="BT16" s="55"/>
      <c r="BU16" s="66"/>
      <c r="BV16" s="66"/>
      <c r="BW16" s="56"/>
      <c r="BX16" s="56" t="n">
        <f>BV16*995</f>
        <v>0</v>
      </c>
      <c r="BY16" s="67"/>
      <c r="BZ16" s="58" t="n">
        <f>BY16*320</f>
        <v>0</v>
      </c>
      <c r="CA16" s="68"/>
      <c r="CB16" s="59" t="n">
        <f>CA16*320</f>
        <v>0</v>
      </c>
      <c r="CC16" s="53" t="n">
        <f>SUM(CD16:CH16)</f>
        <v>0</v>
      </c>
      <c r="CD16" s="61"/>
      <c r="CE16" s="61"/>
      <c r="CF16" s="61"/>
      <c r="CG16" s="61"/>
      <c r="CH16" s="62"/>
      <c r="CI16" s="47"/>
      <c r="CJ16" s="129"/>
      <c r="CK16" s="129"/>
      <c r="CL16" s="37"/>
    </row>
    <row r="17" s="7" customFormat="1" ht="30" customHeight="1">
      <c r="A17" s="48" t="n">
        <v>13</v>
      </c>
      <c r="B17" s="131"/>
      <c r="C17" s="114" t="s">
        <v>425</v>
      </c>
      <c r="D17" s="353"/>
      <c r="E17" s="116" t="s">
        <v>588</v>
      </c>
      <c r="F17" s="506" t="s">
        <v>589</v>
      </c>
      <c r="G17" s="356"/>
      <c r="H17" s="118" t="s">
        <v>570</v>
      </c>
      <c r="I17" s="133"/>
      <c r="J17" s="53"/>
      <c r="K17" s="53"/>
      <c r="L17" s="53"/>
      <c r="M17" s="53"/>
      <c r="N17" s="119" t="n">
        <f>O17+P17+Q17+R17</f>
        <v>3833</v>
      </c>
      <c r="O17" s="119" t="n">
        <f>X17</f>
        <v>0</v>
      </c>
      <c r="P17" s="119" t="n">
        <f>AA17+AE17+AI17+AM17+AQ17+AU17+AX17+BA17</f>
        <v>848</v>
      </c>
      <c r="Q17" s="119" t="n">
        <f>AB17+AF17+AJ17+AN17+AR17+AV17+BB17</f>
        <v>2985</v>
      </c>
      <c r="R17" s="119" t="n">
        <f>BD17+BF17</f>
        <v>0</v>
      </c>
      <c r="S17" s="119" t="n">
        <f>W17</f>
        <v>0</v>
      </c>
      <c r="T17" s="119" t="n">
        <f>Y17+AC17+AG17+AK17+AO17+AS17+AW17+AY17</f>
        <v>0.5</v>
      </c>
      <c r="U17" s="119" t="n">
        <f>Z17+AD17+AH17+AL17+AP17+AT17+AZ17</f>
        <v>3</v>
      </c>
      <c r="V17" s="119" t="n">
        <f>BC17+BE17</f>
        <v>0</v>
      </c>
      <c r="W17" s="60"/>
      <c r="X17" s="60" t="n">
        <f>W17*1696</f>
        <v>0</v>
      </c>
      <c r="Y17" s="120"/>
      <c r="Z17" s="120"/>
      <c r="AA17" s="120"/>
      <c r="AB17" s="120" t="n">
        <f>Z17*995</f>
        <v>0</v>
      </c>
      <c r="AC17" s="121"/>
      <c r="AD17" s="121"/>
      <c r="AE17" s="121" t="n">
        <f>AC17*1696</f>
        <v>0</v>
      </c>
      <c r="AF17" s="121" t="n">
        <f>AD17*995</f>
        <v>0</v>
      </c>
      <c r="AG17" s="120"/>
      <c r="AH17" s="120" t="n">
        <v>2</v>
      </c>
      <c r="AI17" s="120"/>
      <c r="AJ17" s="120" t="n">
        <f>AH17*995</f>
        <v>1990</v>
      </c>
      <c r="AK17" s="61"/>
      <c r="AL17" s="61" t="n">
        <v>1</v>
      </c>
      <c r="AM17" s="61"/>
      <c r="AN17" s="61" t="n">
        <f>AL17*995</f>
        <v>995</v>
      </c>
      <c r="AO17" s="60"/>
      <c r="AP17" s="60"/>
      <c r="AQ17" s="60"/>
      <c r="AR17" s="60" t="n">
        <f>AP17*995</f>
        <v>0</v>
      </c>
      <c r="AS17" s="122" t="n">
        <v>0.5</v>
      </c>
      <c r="AT17" s="122"/>
      <c r="AU17" s="122" t="n">
        <f>AS17*1696</f>
        <v>848</v>
      </c>
      <c r="AV17" s="122" t="n">
        <f>AT17*995</f>
        <v>0</v>
      </c>
      <c r="AW17" s="121"/>
      <c r="AX17" s="121"/>
      <c r="AY17" s="66"/>
      <c r="AZ17" s="66"/>
      <c r="BA17" s="66"/>
      <c r="BB17" s="123" t="n">
        <f>AZ17*995</f>
        <v>0</v>
      </c>
      <c r="BC17" s="67"/>
      <c r="BD17" s="124" t="n">
        <f>BC17*320</f>
        <v>0</v>
      </c>
      <c r="BE17" s="60"/>
      <c r="BF17" s="60" t="n">
        <f>BE17*320</f>
        <v>0</v>
      </c>
      <c r="BG17" s="125" t="n">
        <f>SUM(BH17:BL17)</f>
        <v>0</v>
      </c>
      <c r="BH17" s="61"/>
      <c r="BI17" s="61"/>
      <c r="BJ17" s="61"/>
      <c r="BK17" s="61"/>
      <c r="BL17" s="61"/>
      <c r="BM17" s="116"/>
      <c r="BN17" s="53"/>
      <c r="BO17" s="53"/>
      <c r="BP17" s="53"/>
      <c r="BQ17" s="53"/>
      <c r="BR17" s="54" t="n">
        <f>SUM(BT17,BW17,BX17,BZ17,CB17)</f>
        <v>0</v>
      </c>
      <c r="BS17" s="60"/>
      <c r="BT17" s="55"/>
      <c r="BU17" s="66"/>
      <c r="BV17" s="66"/>
      <c r="BW17" s="56"/>
      <c r="BX17" s="56" t="n">
        <f>BV17*995</f>
        <v>0</v>
      </c>
      <c r="BY17" s="67"/>
      <c r="BZ17" s="58" t="n">
        <f>BY17*320</f>
        <v>0</v>
      </c>
      <c r="CA17" s="68"/>
      <c r="CB17" s="59" t="n">
        <f>CA17*320</f>
        <v>0</v>
      </c>
      <c r="CC17" s="53" t="n">
        <f>SUM(CD17:CH17)</f>
        <v>0</v>
      </c>
      <c r="CD17" s="61"/>
      <c r="CE17" s="61"/>
      <c r="CF17" s="61"/>
      <c r="CG17" s="61"/>
      <c r="CH17" s="62"/>
      <c r="CI17" s="47"/>
      <c r="CJ17" s="129"/>
      <c r="CK17" s="129"/>
      <c r="CL17" s="37"/>
    </row>
    <row r="18" s="7" customFormat="1" ht="30" customHeight="1">
      <c r="A18" s="48" t="n">
        <v>14</v>
      </c>
      <c r="B18" s="131"/>
      <c r="C18" s="114" t="s">
        <v>425</v>
      </c>
      <c r="D18" s="353"/>
      <c r="E18" s="116" t="s">
        <v>590</v>
      </c>
      <c r="F18" s="117" t="s">
        <v>591</v>
      </c>
      <c r="G18" s="356"/>
      <c r="H18" s="118" t="s">
        <v>570</v>
      </c>
      <c r="I18" s="133"/>
      <c r="J18" s="53"/>
      <c r="K18" s="53"/>
      <c r="L18" s="53"/>
      <c r="M18" s="53"/>
      <c r="N18" s="119" t="n">
        <f>O18+P18+Q18+R18</f>
        <v>3833</v>
      </c>
      <c r="O18" s="119" t="n">
        <f>X18</f>
        <v>0</v>
      </c>
      <c r="P18" s="119" t="n">
        <f>AA18+AE18+AI18+AM18+AQ18+AU18+AX18+BA18</f>
        <v>848</v>
      </c>
      <c r="Q18" s="119" t="n">
        <f>AB18+AF18+AJ18+AN18+AR18+AV18+BB18</f>
        <v>2985</v>
      </c>
      <c r="R18" s="119" t="n">
        <f>BD18+BF18</f>
        <v>0</v>
      </c>
      <c r="S18" s="119" t="n">
        <f>W18</f>
        <v>0</v>
      </c>
      <c r="T18" s="119" t="n">
        <f>Y18+AC18+AG18+AK18+AO18+AS18+AW18+AY18</f>
        <v>0.5</v>
      </c>
      <c r="U18" s="119" t="n">
        <f>Z18+AD18+AH18+AL18+AP18+AT18+AZ18</f>
        <v>3</v>
      </c>
      <c r="V18" s="119" t="n">
        <f>BC18+BE18</f>
        <v>0</v>
      </c>
      <c r="W18" s="60"/>
      <c r="X18" s="60" t="n">
        <f>W18*1696</f>
        <v>0</v>
      </c>
      <c r="Y18" s="120"/>
      <c r="Z18" s="120"/>
      <c r="AA18" s="120"/>
      <c r="AB18" s="120" t="n">
        <f>Z18*995</f>
        <v>0</v>
      </c>
      <c r="AC18" s="121"/>
      <c r="AD18" s="121"/>
      <c r="AE18" s="121" t="n">
        <f>AC18*1696</f>
        <v>0</v>
      </c>
      <c r="AF18" s="121" t="n">
        <f>AD18*995</f>
        <v>0</v>
      </c>
      <c r="AG18" s="120"/>
      <c r="AH18" s="120" t="n">
        <v>2</v>
      </c>
      <c r="AI18" s="120"/>
      <c r="AJ18" s="120" t="n">
        <f>AH18*995</f>
        <v>1990</v>
      </c>
      <c r="AK18" s="61"/>
      <c r="AL18" s="61" t="n">
        <v>1</v>
      </c>
      <c r="AM18" s="61"/>
      <c r="AN18" s="61" t="n">
        <f>AL18*995</f>
        <v>995</v>
      </c>
      <c r="AO18" s="60"/>
      <c r="AP18" s="60"/>
      <c r="AQ18" s="60"/>
      <c r="AR18" s="60" t="n">
        <f>AP18*995</f>
        <v>0</v>
      </c>
      <c r="AS18" s="122" t="n">
        <v>0.5</v>
      </c>
      <c r="AT18" s="122"/>
      <c r="AU18" s="122" t="n">
        <f>AS18*1696</f>
        <v>848</v>
      </c>
      <c r="AV18" s="122" t="n">
        <f>AT18*995</f>
        <v>0</v>
      </c>
      <c r="AW18" s="121"/>
      <c r="AX18" s="121"/>
      <c r="AY18" s="66"/>
      <c r="AZ18" s="66"/>
      <c r="BA18" s="66"/>
      <c r="BB18" s="123" t="n">
        <f>AZ18*995</f>
        <v>0</v>
      </c>
      <c r="BC18" s="67"/>
      <c r="BD18" s="124" t="n">
        <f>BC18*320</f>
        <v>0</v>
      </c>
      <c r="BE18" s="60"/>
      <c r="BF18" s="60" t="n">
        <f>BE18*320</f>
        <v>0</v>
      </c>
      <c r="BG18" s="125" t="n">
        <f>SUM(BH18:BL18)</f>
        <v>0</v>
      </c>
      <c r="BH18" s="61"/>
      <c r="BI18" s="61"/>
      <c r="BJ18" s="61"/>
      <c r="BK18" s="61"/>
      <c r="BL18" s="61"/>
      <c r="BM18" s="116"/>
      <c r="BN18" s="53"/>
      <c r="BO18" s="53"/>
      <c r="BP18" s="53"/>
      <c r="BQ18" s="53"/>
      <c r="BR18" s="54" t="n">
        <f>SUM(BT18,BW18,BX18,BZ18,CB18)</f>
        <v>0</v>
      </c>
      <c r="BS18" s="60"/>
      <c r="BT18" s="55"/>
      <c r="BU18" s="66"/>
      <c r="BV18" s="66"/>
      <c r="BW18" s="56"/>
      <c r="BX18" s="56" t="n">
        <f>BV18*995</f>
        <v>0</v>
      </c>
      <c r="BY18" s="67"/>
      <c r="BZ18" s="58" t="n">
        <f>BY18*320</f>
        <v>0</v>
      </c>
      <c r="CA18" s="68"/>
      <c r="CB18" s="59" t="n">
        <f>CA18*320</f>
        <v>0</v>
      </c>
      <c r="CC18" s="53" t="n">
        <f>SUM(CD18:CH18)</f>
        <v>0</v>
      </c>
      <c r="CD18" s="61"/>
      <c r="CE18" s="61"/>
      <c r="CF18" s="61"/>
      <c r="CG18" s="61"/>
      <c r="CH18" s="62"/>
      <c r="CI18" s="47"/>
      <c r="CJ18" s="129"/>
      <c r="CK18" s="129"/>
      <c r="CL18" s="37"/>
    </row>
    <row r="19" s="7" customFormat="1" ht="30" customHeight="1">
      <c r="A19" s="48" t="n">
        <v>15</v>
      </c>
      <c r="B19" s="131"/>
      <c r="C19" s="114" t="s">
        <v>425</v>
      </c>
      <c r="D19" s="353"/>
      <c r="E19" s="116" t="s">
        <v>592</v>
      </c>
      <c r="F19" s="507" t="s">
        <v>593</v>
      </c>
      <c r="G19" s="356"/>
      <c r="H19" s="118" t="s">
        <v>570</v>
      </c>
      <c r="I19" s="133"/>
      <c r="J19" s="53"/>
      <c r="K19" s="53"/>
      <c r="L19" s="53"/>
      <c r="M19" s="53"/>
      <c r="N19" s="119" t="n">
        <f>O19+P19+Q19+R19</f>
        <v>3833</v>
      </c>
      <c r="O19" s="119" t="n">
        <f>X19</f>
        <v>0</v>
      </c>
      <c r="P19" s="119" t="n">
        <f>AA19+AE19+AI19+AM19+AQ19+AU19+AX19+BA19</f>
        <v>848</v>
      </c>
      <c r="Q19" s="119" t="n">
        <f>AB19+AF19+AJ19+AN19+AR19+AV19+BB19</f>
        <v>2985</v>
      </c>
      <c r="R19" s="119" t="n">
        <f>BD19+BF19</f>
        <v>0</v>
      </c>
      <c r="S19" s="119" t="n">
        <f>W19</f>
        <v>0</v>
      </c>
      <c r="T19" s="119" t="n">
        <f>Y19+AC19+AG19+AK19+AO19+AS19+AW19+AY19</f>
        <v>0.5</v>
      </c>
      <c r="U19" s="119" t="n">
        <f>Z19+AD19+AH19+AL19+AP19+AT19+AZ19</f>
        <v>3</v>
      </c>
      <c r="V19" s="119" t="n">
        <f>BC19+BE19</f>
        <v>0</v>
      </c>
      <c r="W19" s="60"/>
      <c r="X19" s="60" t="n">
        <f>W19*1696</f>
        <v>0</v>
      </c>
      <c r="Y19" s="120"/>
      <c r="Z19" s="120"/>
      <c r="AA19" s="120"/>
      <c r="AB19" s="120" t="n">
        <f>Z19*995</f>
        <v>0</v>
      </c>
      <c r="AC19" s="121"/>
      <c r="AD19" s="121"/>
      <c r="AE19" s="121" t="n">
        <f>AC19*1696</f>
        <v>0</v>
      </c>
      <c r="AF19" s="121" t="n">
        <f>AD19*995</f>
        <v>0</v>
      </c>
      <c r="AG19" s="120"/>
      <c r="AH19" s="120" t="n">
        <v>2</v>
      </c>
      <c r="AI19" s="120"/>
      <c r="AJ19" s="120" t="n">
        <f>AH19*995</f>
        <v>1990</v>
      </c>
      <c r="AK19" s="61"/>
      <c r="AL19" s="61" t="n">
        <v>1</v>
      </c>
      <c r="AM19" s="61"/>
      <c r="AN19" s="61" t="n">
        <f>AL19*995</f>
        <v>995</v>
      </c>
      <c r="AO19" s="60"/>
      <c r="AP19" s="60"/>
      <c r="AQ19" s="60"/>
      <c r="AR19" s="60" t="n">
        <f>AP19*995</f>
        <v>0</v>
      </c>
      <c r="AS19" s="122" t="n">
        <v>0.5</v>
      </c>
      <c r="AT19" s="122"/>
      <c r="AU19" s="122" t="n">
        <f>AS19*1696</f>
        <v>848</v>
      </c>
      <c r="AV19" s="122" t="n">
        <f>AT19*995</f>
        <v>0</v>
      </c>
      <c r="AW19" s="121"/>
      <c r="AX19" s="121"/>
      <c r="AY19" s="66"/>
      <c r="AZ19" s="66"/>
      <c r="BA19" s="66"/>
      <c r="BB19" s="123" t="n">
        <f>AZ19*995</f>
        <v>0</v>
      </c>
      <c r="BC19" s="67"/>
      <c r="BD19" s="124" t="n">
        <f>BC19*320</f>
        <v>0</v>
      </c>
      <c r="BE19" s="60"/>
      <c r="BF19" s="60" t="n">
        <f>BE19*320</f>
        <v>0</v>
      </c>
      <c r="BG19" s="125" t="n">
        <f>SUM(BH19:BL19)</f>
        <v>0</v>
      </c>
      <c r="BH19" s="61"/>
      <c r="BI19" s="61"/>
      <c r="BJ19" s="61"/>
      <c r="BK19" s="61"/>
      <c r="BL19" s="61"/>
      <c r="BM19" s="116"/>
      <c r="BN19" s="53"/>
      <c r="BO19" s="53"/>
      <c r="BP19" s="53"/>
      <c r="BQ19" s="53"/>
      <c r="BR19" s="54" t="n">
        <f>SUM(BT19,BW19,BX19,BZ19,CB19)</f>
        <v>0</v>
      </c>
      <c r="BS19" s="60"/>
      <c r="BT19" s="55"/>
      <c r="BU19" s="66"/>
      <c r="BV19" s="66"/>
      <c r="BW19" s="56"/>
      <c r="BX19" s="56" t="n">
        <f>BV19*995</f>
        <v>0</v>
      </c>
      <c r="BY19" s="67"/>
      <c r="BZ19" s="58" t="n">
        <f>BY19*320</f>
        <v>0</v>
      </c>
      <c r="CA19" s="68"/>
      <c r="CB19" s="59" t="n">
        <f>CA19*320</f>
        <v>0</v>
      </c>
      <c r="CC19" s="53" t="n">
        <f>SUM(CD19:CH19)</f>
        <v>0</v>
      </c>
      <c r="CD19" s="61"/>
      <c r="CE19" s="61"/>
      <c r="CF19" s="61"/>
      <c r="CG19" s="61"/>
      <c r="CH19" s="62"/>
      <c r="CI19" s="47"/>
      <c r="CJ19" s="129"/>
      <c r="CK19" s="129"/>
      <c r="CL19" s="37"/>
    </row>
    <row r="20" s="7" customFormat="1" ht="30" customHeight="1">
      <c r="A20" s="48" t="n">
        <v>16</v>
      </c>
      <c r="B20" s="131"/>
      <c r="C20" s="114" t="s">
        <v>425</v>
      </c>
      <c r="D20" s="353"/>
      <c r="E20" s="116" t="s">
        <v>594</v>
      </c>
      <c r="F20" s="508" t="s">
        <v>595</v>
      </c>
      <c r="G20" s="356"/>
      <c r="H20" s="118" t="s">
        <v>570</v>
      </c>
      <c r="I20" s="133"/>
      <c r="J20" s="53"/>
      <c r="K20" s="53"/>
      <c r="L20" s="53"/>
      <c r="M20" s="53"/>
      <c r="N20" s="119" t="n">
        <f>O20+P20+Q20+R20</f>
        <v>3833</v>
      </c>
      <c r="O20" s="119" t="n">
        <f>X20</f>
        <v>0</v>
      </c>
      <c r="P20" s="119" t="n">
        <f>AA20+AE20+AI20+AM20+AQ20+AU20+AX20+BA20</f>
        <v>848</v>
      </c>
      <c r="Q20" s="119" t="n">
        <f>AB20+AF20+AJ20+AN20+AR20+AV20+BB20</f>
        <v>2985</v>
      </c>
      <c r="R20" s="119" t="n">
        <f>BD20+BF20</f>
        <v>0</v>
      </c>
      <c r="S20" s="119" t="n">
        <f>W20</f>
        <v>0</v>
      </c>
      <c r="T20" s="119" t="n">
        <f>Y20+AC20+AG20+AK20+AO20+AS20+AW20+AY20</f>
        <v>0.5</v>
      </c>
      <c r="U20" s="119" t="n">
        <f>Z20+AD20+AH20+AL20+AP20+AT20+AZ20</f>
        <v>3</v>
      </c>
      <c r="V20" s="119" t="n">
        <f>BC20+BE20</f>
        <v>0</v>
      </c>
      <c r="W20" s="60"/>
      <c r="X20" s="60" t="n">
        <f>W20*1696</f>
        <v>0</v>
      </c>
      <c r="Y20" s="120"/>
      <c r="Z20" s="120"/>
      <c r="AA20" s="120"/>
      <c r="AB20" s="120" t="n">
        <f>Z20*995</f>
        <v>0</v>
      </c>
      <c r="AC20" s="121"/>
      <c r="AD20" s="121"/>
      <c r="AE20" s="121" t="n">
        <f>AC20*1696</f>
        <v>0</v>
      </c>
      <c r="AF20" s="121" t="n">
        <f>AD20*995</f>
        <v>0</v>
      </c>
      <c r="AG20" s="120"/>
      <c r="AH20" s="120" t="n">
        <v>2</v>
      </c>
      <c r="AI20" s="120"/>
      <c r="AJ20" s="120" t="n">
        <f>AH20*995</f>
        <v>1990</v>
      </c>
      <c r="AK20" s="61"/>
      <c r="AL20" s="61" t="n">
        <v>1</v>
      </c>
      <c r="AM20" s="61"/>
      <c r="AN20" s="61" t="n">
        <f>AL20*995</f>
        <v>995</v>
      </c>
      <c r="AO20" s="60"/>
      <c r="AP20" s="60"/>
      <c r="AQ20" s="60"/>
      <c r="AR20" s="60" t="n">
        <f>AP20*995</f>
        <v>0</v>
      </c>
      <c r="AS20" s="122" t="n">
        <v>0.5</v>
      </c>
      <c r="AT20" s="122"/>
      <c r="AU20" s="122" t="n">
        <f>AS20*1696</f>
        <v>848</v>
      </c>
      <c r="AV20" s="122" t="n">
        <f>AT20*995</f>
        <v>0</v>
      </c>
      <c r="AW20" s="121"/>
      <c r="AX20" s="121"/>
      <c r="AY20" s="66"/>
      <c r="AZ20" s="66"/>
      <c r="BA20" s="66"/>
      <c r="BB20" s="123" t="n">
        <f>AZ20*995</f>
        <v>0</v>
      </c>
      <c r="BC20" s="67"/>
      <c r="BD20" s="124" t="n">
        <f>BC20*320</f>
        <v>0</v>
      </c>
      <c r="BE20" s="60"/>
      <c r="BF20" s="60" t="n">
        <f>BE20*320</f>
        <v>0</v>
      </c>
      <c r="BG20" s="125" t="n">
        <f>SUM(BH20:BL20)</f>
        <v>0</v>
      </c>
      <c r="BH20" s="61"/>
      <c r="BI20" s="61"/>
      <c r="BJ20" s="61"/>
      <c r="BK20" s="61"/>
      <c r="BL20" s="61"/>
      <c r="BM20" s="116"/>
      <c r="BN20" s="53"/>
      <c r="BO20" s="53"/>
      <c r="BP20" s="53"/>
      <c r="BQ20" s="53"/>
      <c r="BR20" s="54" t="n">
        <f>SUM(BT20,BW20,BX20,BZ20,CB20)</f>
        <v>0</v>
      </c>
      <c r="BS20" s="60"/>
      <c r="BT20" s="55"/>
      <c r="BU20" s="66"/>
      <c r="BV20" s="66"/>
      <c r="BW20" s="56"/>
      <c r="BX20" s="56" t="n">
        <f>BV20*995</f>
        <v>0</v>
      </c>
      <c r="BY20" s="67"/>
      <c r="BZ20" s="58" t="n">
        <f>BY20*320</f>
        <v>0</v>
      </c>
      <c r="CA20" s="68"/>
      <c r="CB20" s="59" t="n">
        <f>CA20*320</f>
        <v>0</v>
      </c>
      <c r="CC20" s="53" t="n">
        <f>SUM(CD20:CH20)</f>
        <v>0</v>
      </c>
      <c r="CD20" s="61"/>
      <c r="CE20" s="61"/>
      <c r="CF20" s="61"/>
      <c r="CG20" s="61"/>
      <c r="CH20" s="62"/>
      <c r="CI20" s="47"/>
      <c r="CJ20" s="129"/>
      <c r="CK20" s="129"/>
      <c r="CL20" s="37"/>
    </row>
    <row r="21" s="7" customFormat="1" ht="30" customHeight="1">
      <c r="A21" s="48" t="n">
        <v>17</v>
      </c>
      <c r="B21" s="131"/>
      <c r="C21" s="114" t="s">
        <v>425</v>
      </c>
      <c r="D21" s="353"/>
      <c r="E21" s="116" t="s">
        <v>596</v>
      </c>
      <c r="F21" s="135" t="s">
        <v>597</v>
      </c>
      <c r="G21" s="356"/>
      <c r="H21" s="118" t="s">
        <v>570</v>
      </c>
      <c r="I21" s="133"/>
      <c r="J21" s="53"/>
      <c r="K21" s="53"/>
      <c r="L21" s="53"/>
      <c r="M21" s="53"/>
      <c r="N21" s="119" t="n">
        <f>O21+P21+Q21+R21</f>
        <v>3833</v>
      </c>
      <c r="O21" s="119" t="n">
        <f>X21</f>
        <v>0</v>
      </c>
      <c r="P21" s="119" t="n">
        <f>AA21+AE21+AI21+AM21+AQ21+AU21+AX21+BA21</f>
        <v>848</v>
      </c>
      <c r="Q21" s="119" t="n">
        <f>AB21+AF21+AJ21+AN21+AR21+AV21+BB21</f>
        <v>2985</v>
      </c>
      <c r="R21" s="119" t="n">
        <f>BD21+BF21</f>
        <v>0</v>
      </c>
      <c r="S21" s="119" t="n">
        <f>W21</f>
        <v>0</v>
      </c>
      <c r="T21" s="119" t="n">
        <f>Y21+AC21+AG21+AK21+AO21+AS21+AW21+AY21</f>
        <v>0.5</v>
      </c>
      <c r="U21" s="119" t="n">
        <f>Z21+AD21+AH21+AL21+AP21+AT21+AZ21</f>
        <v>3</v>
      </c>
      <c r="V21" s="119" t="n">
        <f>BC21+BE21</f>
        <v>0</v>
      </c>
      <c r="W21" s="60"/>
      <c r="X21" s="60" t="n">
        <f>W21*1696</f>
        <v>0</v>
      </c>
      <c r="Y21" s="120"/>
      <c r="Z21" s="120"/>
      <c r="AA21" s="120"/>
      <c r="AB21" s="120" t="n">
        <f>Z21*995</f>
        <v>0</v>
      </c>
      <c r="AC21" s="121"/>
      <c r="AD21" s="121"/>
      <c r="AE21" s="121" t="n">
        <f>AC21*1696</f>
        <v>0</v>
      </c>
      <c r="AF21" s="121" t="n">
        <f>AD21*995</f>
        <v>0</v>
      </c>
      <c r="AG21" s="120"/>
      <c r="AH21" s="120" t="n">
        <v>2</v>
      </c>
      <c r="AI21" s="120"/>
      <c r="AJ21" s="120" t="n">
        <f>AH21*995</f>
        <v>1990</v>
      </c>
      <c r="AK21" s="61"/>
      <c r="AL21" s="61" t="n">
        <v>1</v>
      </c>
      <c r="AM21" s="61"/>
      <c r="AN21" s="61" t="n">
        <f>AL21*995</f>
        <v>995</v>
      </c>
      <c r="AO21" s="60"/>
      <c r="AP21" s="60"/>
      <c r="AQ21" s="60"/>
      <c r="AR21" s="60" t="n">
        <f>AP21*995</f>
        <v>0</v>
      </c>
      <c r="AS21" s="122" t="n">
        <v>0.5</v>
      </c>
      <c r="AT21" s="122"/>
      <c r="AU21" s="122" t="n">
        <f>AS21*1696</f>
        <v>848</v>
      </c>
      <c r="AV21" s="122" t="n">
        <f>AT21*995</f>
        <v>0</v>
      </c>
      <c r="AW21" s="121"/>
      <c r="AX21" s="121"/>
      <c r="AY21" s="66"/>
      <c r="AZ21" s="66"/>
      <c r="BA21" s="66"/>
      <c r="BB21" s="123" t="n">
        <f>AZ21*995</f>
        <v>0</v>
      </c>
      <c r="BC21" s="67"/>
      <c r="BD21" s="124" t="n">
        <f>BC21*320</f>
        <v>0</v>
      </c>
      <c r="BE21" s="60"/>
      <c r="BF21" s="60" t="n">
        <f>BE21*320</f>
        <v>0</v>
      </c>
      <c r="BG21" s="125" t="n">
        <f>SUM(BH21:BL21)</f>
        <v>0</v>
      </c>
      <c r="BH21" s="61"/>
      <c r="BI21" s="61"/>
      <c r="BJ21" s="61"/>
      <c r="BK21" s="61"/>
      <c r="BL21" s="61"/>
      <c r="BM21" s="116"/>
      <c r="BN21" s="53"/>
      <c r="BO21" s="53"/>
      <c r="BP21" s="53"/>
      <c r="BQ21" s="53"/>
      <c r="BR21" s="54" t="n">
        <f>SUM(BT21,BW21,BX21,BZ21,CB21)</f>
        <v>0</v>
      </c>
      <c r="BS21" s="60"/>
      <c r="BT21" s="55"/>
      <c r="BU21" s="66"/>
      <c r="BV21" s="66"/>
      <c r="BW21" s="56"/>
      <c r="BX21" s="56" t="n">
        <f>BV21*995</f>
        <v>0</v>
      </c>
      <c r="BY21" s="67"/>
      <c r="BZ21" s="58" t="n">
        <f>BY21*320</f>
        <v>0</v>
      </c>
      <c r="CA21" s="68"/>
      <c r="CB21" s="59" t="n">
        <f>CA21*320</f>
        <v>0</v>
      </c>
      <c r="CC21" s="53" t="n">
        <f>SUM(CD21:CH21)</f>
        <v>0</v>
      </c>
      <c r="CD21" s="61"/>
      <c r="CE21" s="61"/>
      <c r="CF21" s="61"/>
      <c r="CG21" s="61"/>
      <c r="CH21" s="62"/>
      <c r="CI21" s="47"/>
      <c r="CJ21" s="129"/>
      <c r="CK21" s="129"/>
      <c r="CL21" s="37"/>
    </row>
    <row r="22" s="7" customFormat="1" ht="30" customHeight="1">
      <c r="A22" s="48" t="n">
        <v>18</v>
      </c>
      <c r="B22" s="131"/>
      <c r="C22" s="360" t="s">
        <v>598</v>
      </c>
      <c r="D22" s="118" t="s">
        <v>599</v>
      </c>
      <c r="E22" s="361" t="s">
        <v>600</v>
      </c>
      <c r="F22" s="135" t="s">
        <v>601</v>
      </c>
      <c r="G22" s="118" t="s">
        <v>602</v>
      </c>
      <c r="H22" s="357" t="s">
        <v>563</v>
      </c>
      <c r="I22" s="133"/>
      <c r="J22" s="53"/>
      <c r="K22" s="53"/>
      <c r="L22" s="53"/>
      <c r="M22" s="53"/>
      <c r="N22" s="119" t="n">
        <f>O22+P22+Q22+R22</f>
        <v>1990</v>
      </c>
      <c r="O22" s="119" t="n">
        <f>X22</f>
        <v>0</v>
      </c>
      <c r="P22" s="119" t="n">
        <f>AA22+AE22+AI22+AM22+AQ22+AU22+AX22+BA22</f>
        <v>0</v>
      </c>
      <c r="Q22" s="119" t="n">
        <f>AB22+AF22+AJ22+AN22+AR22+AV22+BB22</f>
        <v>1990</v>
      </c>
      <c r="R22" s="119" t="n">
        <f>BD22+BF22</f>
        <v>0</v>
      </c>
      <c r="S22" s="119" t="n">
        <f>W22</f>
        <v>0</v>
      </c>
      <c r="T22" s="119" t="n">
        <f>Y22+AC22+AG22+AK22+AO22+AS22+AW22+AY22</f>
        <v>0</v>
      </c>
      <c r="U22" s="119" t="n">
        <f>Z22+AD22+AH22+AL22+AP22+AT22+AZ22</f>
        <v>2</v>
      </c>
      <c r="V22" s="119" t="n">
        <f>BC22+BE22</f>
        <v>0</v>
      </c>
      <c r="W22" s="60"/>
      <c r="X22" s="60" t="n">
        <f>W22*1696</f>
        <v>0</v>
      </c>
      <c r="Y22" s="120"/>
      <c r="Z22" s="120"/>
      <c r="AA22" s="120"/>
      <c r="AB22" s="120" t="n">
        <f>Z22*995</f>
        <v>0</v>
      </c>
      <c r="AC22" s="121"/>
      <c r="AD22" s="121"/>
      <c r="AE22" s="121" t="n">
        <f>AC22*1696</f>
        <v>0</v>
      </c>
      <c r="AF22" s="121" t="n">
        <f>AD22*995</f>
        <v>0</v>
      </c>
      <c r="AG22" s="120"/>
      <c r="AH22" s="120" t="n">
        <v>2</v>
      </c>
      <c r="AI22" s="120"/>
      <c r="AJ22" s="120" t="n">
        <f>AH22*995</f>
        <v>1990</v>
      </c>
      <c r="AK22" s="61"/>
      <c r="AL22" s="61"/>
      <c r="AM22" s="61"/>
      <c r="AN22" s="61" t="n">
        <f>AL22*995</f>
        <v>0</v>
      </c>
      <c r="AO22" s="60"/>
      <c r="AP22" s="60"/>
      <c r="AQ22" s="60"/>
      <c r="AR22" s="60" t="n">
        <f>AP22*995</f>
        <v>0</v>
      </c>
      <c r="AS22" s="122"/>
      <c r="AT22" s="122"/>
      <c r="AU22" s="122" t="n">
        <f>AS22*1696</f>
        <v>0</v>
      </c>
      <c r="AV22" s="122" t="n">
        <f>AT22*995</f>
        <v>0</v>
      </c>
      <c r="AW22" s="121"/>
      <c r="AX22" s="121"/>
      <c r="AY22" s="66"/>
      <c r="AZ22" s="66"/>
      <c r="BA22" s="66"/>
      <c r="BB22" s="123" t="n">
        <f>AZ22*995</f>
        <v>0</v>
      </c>
      <c r="BC22" s="67"/>
      <c r="BD22" s="124" t="n">
        <f>BC22*320</f>
        <v>0</v>
      </c>
      <c r="BE22" s="60"/>
      <c r="BF22" s="60" t="n">
        <f>BE22*320</f>
        <v>0</v>
      </c>
      <c r="BG22" s="125" t="n">
        <f>SUM(BH22:BL22)</f>
        <v>0</v>
      </c>
      <c r="BH22" s="61"/>
      <c r="BI22" s="61"/>
      <c r="BJ22" s="61"/>
      <c r="BK22" s="61"/>
      <c r="BL22" s="61"/>
      <c r="BM22" s="116"/>
      <c r="BN22" s="53"/>
      <c r="BO22" s="53"/>
      <c r="BP22" s="53"/>
      <c r="BQ22" s="53"/>
      <c r="BR22" s="54" t="n">
        <f>SUM(BT22,BW22,BX22,BZ22,CB22)</f>
        <v>0</v>
      </c>
      <c r="BS22" s="60"/>
      <c r="BT22" s="55"/>
      <c r="BU22" s="66"/>
      <c r="BV22" s="66"/>
      <c r="BW22" s="56"/>
      <c r="BX22" s="56" t="n">
        <f>BV22*995</f>
        <v>0</v>
      </c>
      <c r="BY22" s="67"/>
      <c r="BZ22" s="58" t="n">
        <f>BY22*320</f>
        <v>0</v>
      </c>
      <c r="CA22" s="68"/>
      <c r="CB22" s="59" t="n">
        <f>CA22*320</f>
        <v>0</v>
      </c>
      <c r="CC22" s="53" t="n">
        <f>SUM(CD22:CH22)</f>
        <v>0</v>
      </c>
      <c r="CD22" s="61"/>
      <c r="CE22" s="61"/>
      <c r="CF22" s="61"/>
      <c r="CG22" s="61"/>
      <c r="CH22" s="62"/>
      <c r="CI22" s="47"/>
      <c r="CJ22" s="129"/>
      <c r="CK22" s="129"/>
      <c r="CL22" s="37"/>
    </row>
    <row r="23" s="7" customFormat="1" ht="30" customHeight="1">
      <c r="A23" s="48" t="n">
        <v>19</v>
      </c>
      <c r="B23" s="131"/>
      <c r="C23" s="360" t="s">
        <v>598</v>
      </c>
      <c r="D23" s="358"/>
      <c r="E23" s="361" t="s">
        <v>603</v>
      </c>
      <c r="F23" s="135" t="s">
        <v>604</v>
      </c>
      <c r="G23" s="358"/>
      <c r="H23" s="357" t="s">
        <v>563</v>
      </c>
      <c r="I23" s="133"/>
      <c r="J23" s="53"/>
      <c r="K23" s="53"/>
      <c r="L23" s="53"/>
      <c r="M23" s="53"/>
      <c r="N23" s="119" t="n">
        <f>O23+P23+Q23+R23</f>
        <v>1990</v>
      </c>
      <c r="O23" s="119" t="n">
        <f>X23</f>
        <v>0</v>
      </c>
      <c r="P23" s="119" t="n">
        <f>AA23+AE23+AI23+AM23+AQ23+AU23+AX23+BA23</f>
        <v>0</v>
      </c>
      <c r="Q23" s="119" t="n">
        <f>AB23+AF23+AJ23+AN23+AR23+AV23+BB23</f>
        <v>1990</v>
      </c>
      <c r="R23" s="119" t="n">
        <f>BD23+BF23</f>
        <v>0</v>
      </c>
      <c r="S23" s="119" t="n">
        <f>W23</f>
        <v>0</v>
      </c>
      <c r="T23" s="119" t="n">
        <f>Y23+AC23+AG23+AK23+AO23+AS23+AW23+AY23</f>
        <v>0</v>
      </c>
      <c r="U23" s="119" t="n">
        <f>Z23+AD23+AH23+AL23+AP23+AT23+AZ23</f>
        <v>2</v>
      </c>
      <c r="V23" s="119" t="n">
        <f>BC23+BE23</f>
        <v>0</v>
      </c>
      <c r="W23" s="60"/>
      <c r="X23" s="60" t="n">
        <f>W23*1696</f>
        <v>0</v>
      </c>
      <c r="Y23" s="120"/>
      <c r="Z23" s="120"/>
      <c r="AA23" s="120"/>
      <c r="AB23" s="120" t="n">
        <f>Z23*995</f>
        <v>0</v>
      </c>
      <c r="AC23" s="121"/>
      <c r="AD23" s="121"/>
      <c r="AE23" s="121" t="n">
        <f>AC23*1696</f>
        <v>0</v>
      </c>
      <c r="AF23" s="121" t="n">
        <f>AD23*995</f>
        <v>0</v>
      </c>
      <c r="AG23" s="120"/>
      <c r="AH23" s="120" t="n">
        <v>2</v>
      </c>
      <c r="AI23" s="120"/>
      <c r="AJ23" s="120" t="n">
        <f>AH23*995</f>
        <v>1990</v>
      </c>
      <c r="AK23" s="61"/>
      <c r="AL23" s="61"/>
      <c r="AM23" s="61"/>
      <c r="AN23" s="61" t="n">
        <f>AL23*995</f>
        <v>0</v>
      </c>
      <c r="AO23" s="60"/>
      <c r="AP23" s="60"/>
      <c r="AQ23" s="60"/>
      <c r="AR23" s="60" t="n">
        <f>AP23*995</f>
        <v>0</v>
      </c>
      <c r="AS23" s="122"/>
      <c r="AT23" s="122"/>
      <c r="AU23" s="122" t="n">
        <f>AS23*1696</f>
        <v>0</v>
      </c>
      <c r="AV23" s="122" t="n">
        <f>AT23*995</f>
        <v>0</v>
      </c>
      <c r="AW23" s="121"/>
      <c r="AX23" s="121"/>
      <c r="AY23" s="66"/>
      <c r="AZ23" s="66"/>
      <c r="BA23" s="66"/>
      <c r="BB23" s="123" t="n">
        <f>AZ23*995</f>
        <v>0</v>
      </c>
      <c r="BC23" s="67"/>
      <c r="BD23" s="124" t="n">
        <f>BC23*320</f>
        <v>0</v>
      </c>
      <c r="BE23" s="60"/>
      <c r="BF23" s="60" t="n">
        <f>BE23*320</f>
        <v>0</v>
      </c>
      <c r="BG23" s="125" t="n">
        <f>SUM(BH23:BL23)</f>
        <v>0</v>
      </c>
      <c r="BH23" s="61"/>
      <c r="BI23" s="61"/>
      <c r="BJ23" s="61"/>
      <c r="BK23" s="61"/>
      <c r="BL23" s="61"/>
      <c r="BM23" s="116"/>
      <c r="BN23" s="53"/>
      <c r="BO23" s="53"/>
      <c r="BP23" s="53"/>
      <c r="BQ23" s="53"/>
      <c r="BR23" s="54" t="n">
        <f>SUM(BT23,BW23,BX23,BZ23,CB23)</f>
        <v>0</v>
      </c>
      <c r="BS23" s="60"/>
      <c r="BT23" s="55"/>
      <c r="BU23" s="66"/>
      <c r="BV23" s="66"/>
      <c r="BW23" s="56"/>
      <c r="BX23" s="56" t="n">
        <f>BV23*995</f>
        <v>0</v>
      </c>
      <c r="BY23" s="67"/>
      <c r="BZ23" s="58" t="n">
        <f>BY23*320</f>
        <v>0</v>
      </c>
      <c r="CA23" s="68"/>
      <c r="CB23" s="59" t="n">
        <f>CA23*320</f>
        <v>0</v>
      </c>
      <c r="CC23" s="53" t="n">
        <f>SUM(CD23:CH23)</f>
        <v>0</v>
      </c>
      <c r="CD23" s="61"/>
      <c r="CE23" s="61"/>
      <c r="CF23" s="61"/>
      <c r="CG23" s="61"/>
      <c r="CH23" s="62"/>
      <c r="CI23" s="47"/>
      <c r="CJ23" s="129"/>
      <c r="CK23" s="129"/>
      <c r="CL23" s="37"/>
    </row>
    <row r="24" s="7" customFormat="1" ht="30" customHeight="1">
      <c r="A24" s="48" t="n">
        <v>20</v>
      </c>
      <c r="B24" s="131"/>
      <c r="C24" s="360" t="s">
        <v>598</v>
      </c>
      <c r="D24" s="358"/>
      <c r="E24" s="361" t="s">
        <v>605</v>
      </c>
      <c r="F24" s="135" t="s">
        <v>606</v>
      </c>
      <c r="G24" s="358"/>
      <c r="H24" s="357" t="s">
        <v>563</v>
      </c>
      <c r="I24" s="133"/>
      <c r="J24" s="53"/>
      <c r="K24" s="53"/>
      <c r="L24" s="53"/>
      <c r="M24" s="53"/>
      <c r="N24" s="119" t="n">
        <f>O24+P24+Q24+R24</f>
        <v>1990</v>
      </c>
      <c r="O24" s="119" t="n">
        <f>X24</f>
        <v>0</v>
      </c>
      <c r="P24" s="119" t="n">
        <f>AA24+AE24+AI24+AM24+AQ24+AU24+AX24+BA24</f>
        <v>0</v>
      </c>
      <c r="Q24" s="119" t="n">
        <f>AB24+AF24+AJ24+AN24+AR24+AV24+BB24</f>
        <v>1990</v>
      </c>
      <c r="R24" s="119" t="n">
        <f>BD24+BF24</f>
        <v>0</v>
      </c>
      <c r="S24" s="119" t="n">
        <f>W24</f>
        <v>0</v>
      </c>
      <c r="T24" s="119" t="n">
        <f>Y24+AC24+AG24+AK24+AO24+AS24+AW24+AY24</f>
        <v>0</v>
      </c>
      <c r="U24" s="119" t="n">
        <f>Z24+AD24+AH24+AL24+AP24+AT24+AZ24</f>
        <v>2</v>
      </c>
      <c r="V24" s="119" t="n">
        <f>BC24+BE24</f>
        <v>0</v>
      </c>
      <c r="W24" s="60"/>
      <c r="X24" s="60" t="n">
        <f>W24*1696</f>
        <v>0</v>
      </c>
      <c r="Y24" s="120"/>
      <c r="Z24" s="120"/>
      <c r="AA24" s="120"/>
      <c r="AB24" s="120" t="n">
        <f>Z24*995</f>
        <v>0</v>
      </c>
      <c r="AC24" s="121"/>
      <c r="AD24" s="121"/>
      <c r="AE24" s="121" t="n">
        <f>AC24*1696</f>
        <v>0</v>
      </c>
      <c r="AF24" s="121" t="n">
        <f>AD24*995</f>
        <v>0</v>
      </c>
      <c r="AG24" s="120"/>
      <c r="AH24" s="120" t="n">
        <v>2</v>
      </c>
      <c r="AI24" s="120"/>
      <c r="AJ24" s="120" t="n">
        <f>AH24*995</f>
        <v>1990</v>
      </c>
      <c r="AK24" s="61"/>
      <c r="AL24" s="61"/>
      <c r="AM24" s="61"/>
      <c r="AN24" s="61" t="n">
        <f>AL24*995</f>
        <v>0</v>
      </c>
      <c r="AO24" s="60"/>
      <c r="AP24" s="60"/>
      <c r="AQ24" s="60"/>
      <c r="AR24" s="60" t="n">
        <f>AP24*995</f>
        <v>0</v>
      </c>
      <c r="AS24" s="122"/>
      <c r="AT24" s="122"/>
      <c r="AU24" s="122" t="n">
        <f>AS24*1696</f>
        <v>0</v>
      </c>
      <c r="AV24" s="122" t="n">
        <f>AT24*995</f>
        <v>0</v>
      </c>
      <c r="AW24" s="121"/>
      <c r="AX24" s="121"/>
      <c r="AY24" s="66"/>
      <c r="AZ24" s="66"/>
      <c r="BA24" s="66"/>
      <c r="BB24" s="123" t="n">
        <f>AZ24*995</f>
        <v>0</v>
      </c>
      <c r="BC24" s="67"/>
      <c r="BD24" s="124" t="n">
        <f>BC24*320</f>
        <v>0</v>
      </c>
      <c r="BE24" s="60"/>
      <c r="BF24" s="60" t="n">
        <f>BE24*320</f>
        <v>0</v>
      </c>
      <c r="BG24" s="125" t="n">
        <f>SUM(BH24:BL24)</f>
        <v>0</v>
      </c>
      <c r="BH24" s="61"/>
      <c r="BI24" s="61"/>
      <c r="BJ24" s="61"/>
      <c r="BK24" s="61"/>
      <c r="BL24" s="61"/>
      <c r="BM24" s="116"/>
      <c r="BN24" s="53"/>
      <c r="BO24" s="53"/>
      <c r="BP24" s="53"/>
      <c r="BQ24" s="53"/>
      <c r="BR24" s="54" t="n">
        <f>SUM(BT24,BW24,BX24,BZ24,CB24)</f>
        <v>0</v>
      </c>
      <c r="BS24" s="60"/>
      <c r="BT24" s="55"/>
      <c r="BU24" s="66"/>
      <c r="BV24" s="66"/>
      <c r="BW24" s="56"/>
      <c r="BX24" s="56" t="n">
        <f>BV24*995</f>
        <v>0</v>
      </c>
      <c r="BY24" s="67"/>
      <c r="BZ24" s="58" t="n">
        <f>BY24*320</f>
        <v>0</v>
      </c>
      <c r="CA24" s="68"/>
      <c r="CB24" s="59" t="n">
        <f>CA24*320</f>
        <v>0</v>
      </c>
      <c r="CC24" s="53" t="n">
        <f>SUM(CD24:CH24)</f>
        <v>0</v>
      </c>
      <c r="CD24" s="61"/>
      <c r="CE24" s="61"/>
      <c r="CF24" s="61"/>
      <c r="CG24" s="61"/>
      <c r="CH24" s="62"/>
      <c r="CI24" s="47"/>
      <c r="CJ24" s="129"/>
      <c r="CK24" s="129"/>
      <c r="CL24" s="37"/>
    </row>
    <row r="25" s="7" customFormat="1" ht="30" customHeight="1">
      <c r="A25" s="48" t="n">
        <v>21</v>
      </c>
      <c r="B25" s="131"/>
      <c r="C25" s="360" t="s">
        <v>598</v>
      </c>
      <c r="D25" s="358"/>
      <c r="E25" s="361" t="s">
        <v>607</v>
      </c>
      <c r="F25" s="135" t="s">
        <v>608</v>
      </c>
      <c r="G25" s="358"/>
      <c r="H25" s="357" t="s">
        <v>563</v>
      </c>
      <c r="I25" s="133"/>
      <c r="J25" s="53"/>
      <c r="K25" s="53"/>
      <c r="L25" s="53"/>
      <c r="M25" s="53"/>
      <c r="N25" s="119" t="n">
        <f>O25+P25+Q25+R25</f>
        <v>1990</v>
      </c>
      <c r="O25" s="119" t="n">
        <f>X25</f>
        <v>0</v>
      </c>
      <c r="P25" s="119" t="n">
        <f>AA25+AE25+AI25+AM25+AQ25+AU25+AX25+BA25</f>
        <v>0</v>
      </c>
      <c r="Q25" s="119" t="n">
        <f>AB25+AF25+AJ25+AN25+AR25+AV25+BB25</f>
        <v>1990</v>
      </c>
      <c r="R25" s="119" t="n">
        <f>BD25+BF25</f>
        <v>0</v>
      </c>
      <c r="S25" s="119" t="n">
        <f>W25</f>
        <v>0</v>
      </c>
      <c r="T25" s="119" t="n">
        <f>Y25+AC25+AG25+AK25+AO25+AS25+AW25+AY25</f>
        <v>0</v>
      </c>
      <c r="U25" s="119" t="n">
        <f>Z25+AD25+AH25+AL25+AP25+AT25+AZ25</f>
        <v>2</v>
      </c>
      <c r="V25" s="119" t="n">
        <f>BC25+BE25</f>
        <v>0</v>
      </c>
      <c r="W25" s="60"/>
      <c r="X25" s="60" t="n">
        <f>W25*1696</f>
        <v>0</v>
      </c>
      <c r="Y25" s="120"/>
      <c r="Z25" s="120"/>
      <c r="AA25" s="120"/>
      <c r="AB25" s="120" t="n">
        <f>Z25*995</f>
        <v>0</v>
      </c>
      <c r="AC25" s="121"/>
      <c r="AD25" s="121"/>
      <c r="AE25" s="121" t="n">
        <f>AC25*1696</f>
        <v>0</v>
      </c>
      <c r="AF25" s="121" t="n">
        <f>AD25*995</f>
        <v>0</v>
      </c>
      <c r="AG25" s="120"/>
      <c r="AH25" s="120" t="n">
        <v>2</v>
      </c>
      <c r="AI25" s="120"/>
      <c r="AJ25" s="120" t="n">
        <f>AH25*995</f>
        <v>1990</v>
      </c>
      <c r="AK25" s="61"/>
      <c r="AL25" s="61"/>
      <c r="AM25" s="61"/>
      <c r="AN25" s="61" t="n">
        <f>AL25*995</f>
        <v>0</v>
      </c>
      <c r="AO25" s="60"/>
      <c r="AP25" s="60"/>
      <c r="AQ25" s="60"/>
      <c r="AR25" s="60" t="n">
        <f>AP25*995</f>
        <v>0</v>
      </c>
      <c r="AS25" s="122"/>
      <c r="AT25" s="122"/>
      <c r="AU25" s="122" t="n">
        <f>AS25*1696</f>
        <v>0</v>
      </c>
      <c r="AV25" s="122" t="n">
        <f>AT25*995</f>
        <v>0</v>
      </c>
      <c r="AW25" s="121"/>
      <c r="AX25" s="121"/>
      <c r="AY25" s="66"/>
      <c r="AZ25" s="66"/>
      <c r="BA25" s="66"/>
      <c r="BB25" s="123" t="n">
        <f>AZ25*995</f>
        <v>0</v>
      </c>
      <c r="BC25" s="67"/>
      <c r="BD25" s="124" t="n">
        <f>BC25*320</f>
        <v>0</v>
      </c>
      <c r="BE25" s="60"/>
      <c r="BF25" s="60" t="n">
        <f>BE25*320</f>
        <v>0</v>
      </c>
      <c r="BG25" s="125" t="n">
        <f>SUM(BH25:BL25)</f>
        <v>0</v>
      </c>
      <c r="BH25" s="61"/>
      <c r="BI25" s="61"/>
      <c r="BJ25" s="61"/>
      <c r="BK25" s="61"/>
      <c r="BL25" s="61"/>
      <c r="BM25" s="116"/>
      <c r="BN25" s="53"/>
      <c r="BO25" s="53"/>
      <c r="BP25" s="53"/>
      <c r="BQ25" s="53"/>
      <c r="BR25" s="54" t="n">
        <f>SUM(BT25,BW25,BX25,BZ25,CB25)</f>
        <v>0</v>
      </c>
      <c r="BS25" s="60"/>
      <c r="BT25" s="55"/>
      <c r="BU25" s="66"/>
      <c r="BV25" s="66"/>
      <c r="BW25" s="56"/>
      <c r="BX25" s="56" t="n">
        <f>BV25*995</f>
        <v>0</v>
      </c>
      <c r="BY25" s="67"/>
      <c r="BZ25" s="58" t="n">
        <f>BY25*320</f>
        <v>0</v>
      </c>
      <c r="CA25" s="68"/>
      <c r="CB25" s="59" t="n">
        <f>CA25*320</f>
        <v>0</v>
      </c>
      <c r="CC25" s="53" t="n">
        <f>SUM(CD25:CH25)</f>
        <v>0</v>
      </c>
      <c r="CD25" s="61"/>
      <c r="CE25" s="61"/>
      <c r="CF25" s="61"/>
      <c r="CG25" s="61"/>
      <c r="CH25" s="62"/>
      <c r="CI25" s="47"/>
      <c r="CJ25" s="129"/>
      <c r="CK25" s="129"/>
      <c r="CL25" s="37"/>
    </row>
    <row r="26" s="7" customFormat="1" ht="30" customHeight="1">
      <c r="A26" s="48" t="n">
        <v>22</v>
      </c>
      <c r="B26" s="131"/>
      <c r="C26" s="360" t="s">
        <v>598</v>
      </c>
      <c r="D26" s="358"/>
      <c r="E26" s="361" t="s">
        <v>609</v>
      </c>
      <c r="F26" s="135" t="s">
        <v>610</v>
      </c>
      <c r="G26" s="358"/>
      <c r="H26" s="357" t="s">
        <v>563</v>
      </c>
      <c r="I26" s="133"/>
      <c r="J26" s="53"/>
      <c r="K26" s="53"/>
      <c r="L26" s="53"/>
      <c r="M26" s="53"/>
      <c r="N26" s="119" t="n">
        <f>O26+P26+Q26+R26</f>
        <v>1990</v>
      </c>
      <c r="O26" s="119" t="n">
        <f>X26</f>
        <v>0</v>
      </c>
      <c r="P26" s="119" t="n">
        <f>AA26+AE26+AI26+AM26+AQ26+AU26+AX26+BA26</f>
        <v>0</v>
      </c>
      <c r="Q26" s="119" t="n">
        <f>AB26+AF26+AJ26+AN26+AR26+AV26+BB26</f>
        <v>1990</v>
      </c>
      <c r="R26" s="119" t="n">
        <f>BD26+BF26</f>
        <v>0</v>
      </c>
      <c r="S26" s="119" t="n">
        <f>W26</f>
        <v>0</v>
      </c>
      <c r="T26" s="119" t="n">
        <f>Y26+AC26+AG26+AK26+AO26+AS26+AW26+AY26</f>
        <v>0</v>
      </c>
      <c r="U26" s="119" t="n">
        <f>Z26+AD26+AH26+AL26+AP26+AT26+AZ26</f>
        <v>2</v>
      </c>
      <c r="V26" s="119" t="n">
        <f>BC26+BE26</f>
        <v>0</v>
      </c>
      <c r="W26" s="60"/>
      <c r="X26" s="60" t="n">
        <f>W26*1696</f>
        <v>0</v>
      </c>
      <c r="Y26" s="120"/>
      <c r="Z26" s="120"/>
      <c r="AA26" s="120"/>
      <c r="AB26" s="120" t="n">
        <f>Z26*995</f>
        <v>0</v>
      </c>
      <c r="AC26" s="121"/>
      <c r="AD26" s="121"/>
      <c r="AE26" s="121" t="n">
        <f>AC26*1696</f>
        <v>0</v>
      </c>
      <c r="AF26" s="121" t="n">
        <f>AD26*995</f>
        <v>0</v>
      </c>
      <c r="AG26" s="120"/>
      <c r="AH26" s="120" t="n">
        <v>2</v>
      </c>
      <c r="AI26" s="120"/>
      <c r="AJ26" s="120" t="n">
        <f>AH26*995</f>
        <v>1990</v>
      </c>
      <c r="AK26" s="61"/>
      <c r="AL26" s="61"/>
      <c r="AM26" s="61"/>
      <c r="AN26" s="61" t="n">
        <f>AL26*995</f>
        <v>0</v>
      </c>
      <c r="AO26" s="60"/>
      <c r="AP26" s="60"/>
      <c r="AQ26" s="60"/>
      <c r="AR26" s="60" t="n">
        <f>AP26*995</f>
        <v>0</v>
      </c>
      <c r="AS26" s="122"/>
      <c r="AT26" s="122"/>
      <c r="AU26" s="122" t="n">
        <f>AS26*1696</f>
        <v>0</v>
      </c>
      <c r="AV26" s="122" t="n">
        <f>AT26*995</f>
        <v>0</v>
      </c>
      <c r="AW26" s="121"/>
      <c r="AX26" s="121"/>
      <c r="AY26" s="66"/>
      <c r="AZ26" s="66"/>
      <c r="BA26" s="66"/>
      <c r="BB26" s="123" t="n">
        <f>AZ26*995</f>
        <v>0</v>
      </c>
      <c r="BC26" s="67"/>
      <c r="BD26" s="124" t="n">
        <f>BC26*320</f>
        <v>0</v>
      </c>
      <c r="BE26" s="60"/>
      <c r="BF26" s="60" t="n">
        <f>BE26*320</f>
        <v>0</v>
      </c>
      <c r="BG26" s="125" t="n">
        <f>SUM(BH26:BL26)</f>
        <v>0</v>
      </c>
      <c r="BH26" s="61"/>
      <c r="BI26" s="61"/>
      <c r="BJ26" s="61"/>
      <c r="BK26" s="61"/>
      <c r="BL26" s="61"/>
      <c r="BM26" s="116"/>
      <c r="BN26" s="53"/>
      <c r="BO26" s="53"/>
      <c r="BP26" s="53"/>
      <c r="BQ26" s="53"/>
      <c r="BR26" s="54" t="n">
        <f>SUM(BT26,BW26,BX26,BZ26,CB26)</f>
        <v>0</v>
      </c>
      <c r="BS26" s="60"/>
      <c r="BT26" s="55"/>
      <c r="BU26" s="66"/>
      <c r="BV26" s="66"/>
      <c r="BW26" s="56"/>
      <c r="BX26" s="56" t="n">
        <f>BV26*995</f>
        <v>0</v>
      </c>
      <c r="BY26" s="67"/>
      <c r="BZ26" s="58" t="n">
        <f>BY26*320</f>
        <v>0</v>
      </c>
      <c r="CA26" s="68"/>
      <c r="CB26" s="59" t="n">
        <f>CA26*320</f>
        <v>0</v>
      </c>
      <c r="CC26" s="53" t="n">
        <f>SUM(CD26:CH26)</f>
        <v>0</v>
      </c>
      <c r="CD26" s="61"/>
      <c r="CE26" s="61"/>
      <c r="CF26" s="61"/>
      <c r="CG26" s="61"/>
      <c r="CH26" s="62"/>
      <c r="CI26" s="47"/>
      <c r="CJ26" s="129"/>
      <c r="CK26" s="129"/>
      <c r="CL26" s="37"/>
    </row>
    <row r="27" s="7" customFormat="1" ht="30" customHeight="1">
      <c r="A27" s="48" t="n">
        <v>23</v>
      </c>
      <c r="B27" s="131"/>
      <c r="C27" s="360" t="s">
        <v>598</v>
      </c>
      <c r="D27" s="118" t="s">
        <v>611</v>
      </c>
      <c r="E27" s="361" t="s">
        <v>612</v>
      </c>
      <c r="F27" s="135" t="s">
        <v>613</v>
      </c>
      <c r="G27" s="358"/>
      <c r="H27" s="357" t="s">
        <v>563</v>
      </c>
      <c r="I27" s="133"/>
      <c r="J27" s="53"/>
      <c r="K27" s="53"/>
      <c r="L27" s="53"/>
      <c r="M27" s="53"/>
      <c r="N27" s="119" t="n">
        <f>O27+P27+Q27+R27</f>
        <v>1990</v>
      </c>
      <c r="O27" s="119" t="n">
        <f>X27</f>
        <v>0</v>
      </c>
      <c r="P27" s="119" t="n">
        <f>AA27+AE27+AI27+AM27+AQ27+AU27+AX27+BA27</f>
        <v>0</v>
      </c>
      <c r="Q27" s="119" t="n">
        <f>AB27+AF27+AJ27+AN27+AR27+AV27+BB27</f>
        <v>1990</v>
      </c>
      <c r="R27" s="119" t="n">
        <f>BD27+BF27</f>
        <v>0</v>
      </c>
      <c r="S27" s="119" t="n">
        <f>W27</f>
        <v>0</v>
      </c>
      <c r="T27" s="119" t="n">
        <f>Y27+AC27+AG27+AK27+AO27+AS27+AW27+AY27</f>
        <v>0</v>
      </c>
      <c r="U27" s="119" t="n">
        <f>Z27+AD27+AH27+AL27+AP27+AT27+AZ27</f>
        <v>2</v>
      </c>
      <c r="V27" s="119" t="n">
        <f>BC27+BE27</f>
        <v>0</v>
      </c>
      <c r="W27" s="60"/>
      <c r="X27" s="60" t="n">
        <f>W27*1696</f>
        <v>0</v>
      </c>
      <c r="Y27" s="120"/>
      <c r="Z27" s="120"/>
      <c r="AA27" s="120"/>
      <c r="AB27" s="120" t="n">
        <f>Z27*995</f>
        <v>0</v>
      </c>
      <c r="AC27" s="121"/>
      <c r="AD27" s="121"/>
      <c r="AE27" s="121" t="n">
        <f>AC27*1696</f>
        <v>0</v>
      </c>
      <c r="AF27" s="121" t="n">
        <f>AD27*995</f>
        <v>0</v>
      </c>
      <c r="AG27" s="120"/>
      <c r="AH27" s="120" t="n">
        <v>2</v>
      </c>
      <c r="AI27" s="120"/>
      <c r="AJ27" s="120" t="n">
        <f>AH27*995</f>
        <v>1990</v>
      </c>
      <c r="AK27" s="61"/>
      <c r="AL27" s="61"/>
      <c r="AM27" s="61"/>
      <c r="AN27" s="61" t="n">
        <f>AL27*995</f>
        <v>0</v>
      </c>
      <c r="AO27" s="60"/>
      <c r="AP27" s="60"/>
      <c r="AQ27" s="60"/>
      <c r="AR27" s="60" t="n">
        <f>AP27*995</f>
        <v>0</v>
      </c>
      <c r="AS27" s="122"/>
      <c r="AT27" s="122"/>
      <c r="AU27" s="122" t="n">
        <f>AS27*1696</f>
        <v>0</v>
      </c>
      <c r="AV27" s="122" t="n">
        <f>AT27*995</f>
        <v>0</v>
      </c>
      <c r="AW27" s="121"/>
      <c r="AX27" s="121"/>
      <c r="AY27" s="66"/>
      <c r="AZ27" s="66"/>
      <c r="BA27" s="66"/>
      <c r="BB27" s="123" t="n">
        <f>AZ27*995</f>
        <v>0</v>
      </c>
      <c r="BC27" s="67"/>
      <c r="BD27" s="124" t="n">
        <f>BC27*320</f>
        <v>0</v>
      </c>
      <c r="BE27" s="60"/>
      <c r="BF27" s="60" t="n">
        <f>BE27*320</f>
        <v>0</v>
      </c>
      <c r="BG27" s="125" t="n">
        <f>SUM(BH27:BL27)</f>
        <v>0</v>
      </c>
      <c r="BH27" s="61"/>
      <c r="BI27" s="61"/>
      <c r="BJ27" s="61"/>
      <c r="BK27" s="61"/>
      <c r="BL27" s="61"/>
      <c r="BM27" s="116"/>
      <c r="BN27" s="53"/>
      <c r="BO27" s="53"/>
      <c r="BP27" s="53"/>
      <c r="BQ27" s="53"/>
      <c r="BR27" s="54" t="n">
        <f>SUM(BT27,BW27,BX27,BZ27,CB27)</f>
        <v>0</v>
      </c>
      <c r="BS27" s="60"/>
      <c r="BT27" s="55"/>
      <c r="BU27" s="66"/>
      <c r="BV27" s="66"/>
      <c r="BW27" s="56"/>
      <c r="BX27" s="56" t="n">
        <f>BV27*995</f>
        <v>0</v>
      </c>
      <c r="BY27" s="67"/>
      <c r="BZ27" s="58" t="n">
        <f>BY27*320</f>
        <v>0</v>
      </c>
      <c r="CA27" s="68"/>
      <c r="CB27" s="59" t="n">
        <f>CA27*320</f>
        <v>0</v>
      </c>
      <c r="CC27" s="53" t="n">
        <f>SUM(CD27:CH27)</f>
        <v>0</v>
      </c>
      <c r="CD27" s="61"/>
      <c r="CE27" s="61"/>
      <c r="CF27" s="61"/>
      <c r="CG27" s="61"/>
      <c r="CH27" s="62"/>
      <c r="CI27" s="47"/>
      <c r="CJ27" s="129"/>
      <c r="CK27" s="129"/>
      <c r="CL27" s="37"/>
    </row>
    <row r="28" s="7" customFormat="1" ht="30" customHeight="1">
      <c r="A28" s="48" t="n">
        <v>24</v>
      </c>
      <c r="B28" s="131"/>
      <c r="C28" s="360" t="s">
        <v>598</v>
      </c>
      <c r="D28" s="358"/>
      <c r="E28" s="361" t="s">
        <v>614</v>
      </c>
      <c r="F28" s="135" t="s">
        <v>615</v>
      </c>
      <c r="G28" s="358"/>
      <c r="H28" s="357" t="s">
        <v>563</v>
      </c>
      <c r="I28" s="133"/>
      <c r="J28" s="53"/>
      <c r="K28" s="53"/>
      <c r="L28" s="53"/>
      <c r="M28" s="53"/>
      <c r="N28" s="119" t="n">
        <f>O28+P28+Q28+R28</f>
        <v>1990</v>
      </c>
      <c r="O28" s="119" t="n">
        <f>X28</f>
        <v>0</v>
      </c>
      <c r="P28" s="119" t="n">
        <f>AA28+AE28+AI28+AM28+AQ28+AU28+AX28+BA28</f>
        <v>0</v>
      </c>
      <c r="Q28" s="119" t="n">
        <f>AB28+AF28+AJ28+AN28+AR28+AV28+BB28</f>
        <v>1990</v>
      </c>
      <c r="R28" s="119" t="n">
        <f>BD28+BF28</f>
        <v>0</v>
      </c>
      <c r="S28" s="119" t="n">
        <f>W28</f>
        <v>0</v>
      </c>
      <c r="T28" s="119" t="n">
        <f>Y28+AC28+AG28+AK28+AO28+AS28+AW28+AY28</f>
        <v>0</v>
      </c>
      <c r="U28" s="119" t="n">
        <f>Z28+AD28+AH28+AL28+AP28+AT28+AZ28</f>
        <v>2</v>
      </c>
      <c r="V28" s="119" t="n">
        <f>BC28+BE28</f>
        <v>0</v>
      </c>
      <c r="W28" s="60"/>
      <c r="X28" s="60" t="n">
        <f>W28*1696</f>
        <v>0</v>
      </c>
      <c r="Y28" s="120"/>
      <c r="Z28" s="120"/>
      <c r="AA28" s="120"/>
      <c r="AB28" s="120" t="n">
        <f>Z28*995</f>
        <v>0</v>
      </c>
      <c r="AC28" s="121"/>
      <c r="AD28" s="121"/>
      <c r="AE28" s="121" t="n">
        <f>AC28*1696</f>
        <v>0</v>
      </c>
      <c r="AF28" s="121" t="n">
        <f>AD28*995</f>
        <v>0</v>
      </c>
      <c r="AG28" s="120"/>
      <c r="AH28" s="120" t="n">
        <v>2</v>
      </c>
      <c r="AI28" s="120"/>
      <c r="AJ28" s="120" t="n">
        <f>AH28*995</f>
        <v>1990</v>
      </c>
      <c r="AK28" s="61"/>
      <c r="AL28" s="61"/>
      <c r="AM28" s="61"/>
      <c r="AN28" s="61" t="n">
        <f>AL28*995</f>
        <v>0</v>
      </c>
      <c r="AO28" s="60"/>
      <c r="AP28" s="60"/>
      <c r="AQ28" s="60"/>
      <c r="AR28" s="60" t="n">
        <f>AP28*995</f>
        <v>0</v>
      </c>
      <c r="AS28" s="122"/>
      <c r="AT28" s="122"/>
      <c r="AU28" s="122" t="n">
        <f>AS28*1696</f>
        <v>0</v>
      </c>
      <c r="AV28" s="122" t="n">
        <f>AT28*995</f>
        <v>0</v>
      </c>
      <c r="AW28" s="121"/>
      <c r="AX28" s="121"/>
      <c r="AY28" s="66"/>
      <c r="AZ28" s="66"/>
      <c r="BA28" s="66"/>
      <c r="BB28" s="123" t="n">
        <f>AZ28*995</f>
        <v>0</v>
      </c>
      <c r="BC28" s="67"/>
      <c r="BD28" s="124" t="n">
        <f>BC28*320</f>
        <v>0</v>
      </c>
      <c r="BE28" s="60"/>
      <c r="BF28" s="60" t="n">
        <f>BE28*320</f>
        <v>0</v>
      </c>
      <c r="BG28" s="125" t="n">
        <f>SUM(BH28:BL28)</f>
        <v>0</v>
      </c>
      <c r="BH28" s="61"/>
      <c r="BI28" s="61"/>
      <c r="BJ28" s="61"/>
      <c r="BK28" s="61"/>
      <c r="BL28" s="61"/>
      <c r="BM28" s="116"/>
      <c r="BN28" s="53"/>
      <c r="BO28" s="53"/>
      <c r="BP28" s="53"/>
      <c r="BQ28" s="53"/>
      <c r="BR28" s="54" t="n">
        <f>SUM(BT28,BW28,BX28,BZ28,CB28)</f>
        <v>0</v>
      </c>
      <c r="BS28" s="60"/>
      <c r="BT28" s="55"/>
      <c r="BU28" s="66"/>
      <c r="BV28" s="66"/>
      <c r="BW28" s="56"/>
      <c r="BX28" s="56" t="n">
        <f>BV28*995</f>
        <v>0</v>
      </c>
      <c r="BY28" s="67"/>
      <c r="BZ28" s="58" t="n">
        <f>BY28*320</f>
        <v>0</v>
      </c>
      <c r="CA28" s="68"/>
      <c r="CB28" s="59" t="n">
        <f>CA28*320</f>
        <v>0</v>
      </c>
      <c r="CC28" s="53" t="n">
        <f>SUM(CD28:CH28)</f>
        <v>0</v>
      </c>
      <c r="CD28" s="61"/>
      <c r="CE28" s="61"/>
      <c r="CF28" s="61"/>
      <c r="CG28" s="61"/>
      <c r="CH28" s="62"/>
      <c r="CI28" s="47"/>
      <c r="CJ28" s="129"/>
      <c r="CK28" s="129"/>
      <c r="CL28" s="37"/>
    </row>
    <row r="29" s="7" customFormat="1" ht="30" customHeight="1">
      <c r="A29" s="48" t="n">
        <v>25</v>
      </c>
      <c r="B29" s="131"/>
      <c r="C29" s="360" t="s">
        <v>598</v>
      </c>
      <c r="D29" s="358"/>
      <c r="E29" s="361" t="s">
        <v>616</v>
      </c>
      <c r="F29" s="135" t="s">
        <v>617</v>
      </c>
      <c r="G29" s="358"/>
      <c r="H29" s="357" t="s">
        <v>563</v>
      </c>
      <c r="I29" s="136"/>
      <c r="J29" s="53"/>
      <c r="K29" s="53"/>
      <c r="L29" s="53"/>
      <c r="M29" s="53"/>
      <c r="N29" s="119" t="n">
        <f>O29+P29+Q29+R29</f>
        <v>1990</v>
      </c>
      <c r="O29" s="119" t="n">
        <f>X29</f>
        <v>0</v>
      </c>
      <c r="P29" s="119" t="n">
        <f>AA29+AE29+AI29+AM29+AQ29+AU29+AX29+BA29</f>
        <v>0</v>
      </c>
      <c r="Q29" s="119" t="n">
        <f>AB29+AF29+AJ29+AN29+AR29+AV29+BB29</f>
        <v>1990</v>
      </c>
      <c r="R29" s="119" t="n">
        <f>BD29+BF29</f>
        <v>0</v>
      </c>
      <c r="S29" s="119" t="n">
        <f>W29</f>
        <v>0</v>
      </c>
      <c r="T29" s="119" t="n">
        <f>Y29+AC29+AG29+AK29+AO29+AS29+AW29+AY29</f>
        <v>0</v>
      </c>
      <c r="U29" s="119" t="n">
        <f>Z29+AD29+AH29+AL29+AP29+AT29+AZ29</f>
        <v>2</v>
      </c>
      <c r="V29" s="119" t="n">
        <f>BC29+BE29</f>
        <v>0</v>
      </c>
      <c r="W29" s="60"/>
      <c r="X29" s="60" t="n">
        <f>W29*1696</f>
        <v>0</v>
      </c>
      <c r="Y29" s="120"/>
      <c r="Z29" s="120"/>
      <c r="AA29" s="120"/>
      <c r="AB29" s="120" t="n">
        <f>Z29*995</f>
        <v>0</v>
      </c>
      <c r="AC29" s="121"/>
      <c r="AD29" s="121"/>
      <c r="AE29" s="121" t="n">
        <f>AC29*1696</f>
        <v>0</v>
      </c>
      <c r="AF29" s="121" t="n">
        <f>AD29*995</f>
        <v>0</v>
      </c>
      <c r="AG29" s="120"/>
      <c r="AH29" s="120" t="n">
        <v>2</v>
      </c>
      <c r="AI29" s="120"/>
      <c r="AJ29" s="120" t="n">
        <f>AH29*995</f>
        <v>1990</v>
      </c>
      <c r="AK29" s="61"/>
      <c r="AL29" s="61"/>
      <c r="AM29" s="61"/>
      <c r="AN29" s="61" t="n">
        <f>AL29*995</f>
        <v>0</v>
      </c>
      <c r="AO29" s="60"/>
      <c r="AP29" s="60"/>
      <c r="AQ29" s="60"/>
      <c r="AR29" s="60" t="n">
        <f>AP29*995</f>
        <v>0</v>
      </c>
      <c r="AS29" s="122"/>
      <c r="AT29" s="122"/>
      <c r="AU29" s="122" t="n">
        <f>AS29*1696</f>
        <v>0</v>
      </c>
      <c r="AV29" s="122" t="n">
        <f>AT29*995</f>
        <v>0</v>
      </c>
      <c r="AW29" s="121"/>
      <c r="AX29" s="121"/>
      <c r="AY29" s="66"/>
      <c r="AZ29" s="66"/>
      <c r="BA29" s="66"/>
      <c r="BB29" s="123" t="n">
        <f>AZ29*995</f>
        <v>0</v>
      </c>
      <c r="BC29" s="67"/>
      <c r="BD29" s="124" t="n">
        <f>BC29*320</f>
        <v>0</v>
      </c>
      <c r="BE29" s="60"/>
      <c r="BF29" s="60" t="n">
        <f>BE29*320</f>
        <v>0</v>
      </c>
      <c r="BG29" s="125" t="n">
        <f>SUM(BH29:BL29)</f>
        <v>0</v>
      </c>
      <c r="BH29" s="61"/>
      <c r="BI29" s="61"/>
      <c r="BJ29" s="61"/>
      <c r="BK29" s="61"/>
      <c r="BL29" s="61"/>
      <c r="BM29" s="116"/>
      <c r="BN29" s="53"/>
      <c r="BO29" s="53"/>
      <c r="BP29" s="53"/>
      <c r="BQ29" s="53"/>
      <c r="BR29" s="54" t="n">
        <f>SUM(BT29,BW29,BX29,BZ29,CB29)</f>
        <v>0</v>
      </c>
      <c r="BS29" s="60"/>
      <c r="BT29" s="55"/>
      <c r="BU29" s="66"/>
      <c r="BV29" s="66"/>
      <c r="BW29" s="56"/>
      <c r="BX29" s="56" t="n">
        <f>BV29*995</f>
        <v>0</v>
      </c>
      <c r="BY29" s="67"/>
      <c r="BZ29" s="58" t="n">
        <f>BY29*320</f>
        <v>0</v>
      </c>
      <c r="CA29" s="68"/>
      <c r="CB29" s="59" t="n">
        <f>CA29*320</f>
        <v>0</v>
      </c>
      <c r="CC29" s="53" t="n">
        <f>SUM(CD29:CH29)</f>
        <v>0</v>
      </c>
      <c r="CD29" s="61"/>
      <c r="CE29" s="61"/>
      <c r="CF29" s="61"/>
      <c r="CG29" s="61"/>
      <c r="CH29" s="62"/>
      <c r="CI29" s="63"/>
      <c r="CJ29" s="129"/>
      <c r="CK29" s="129"/>
      <c r="CL29" s="130"/>
    </row>
    <row r="30" s="7" customFormat="1" ht="30" customHeight="1">
      <c r="A30" s="48" t="n">
        <v>26</v>
      </c>
      <c r="B30" s="131"/>
      <c r="C30" s="360" t="s">
        <v>598</v>
      </c>
      <c r="D30" s="358"/>
      <c r="E30" s="361" t="s">
        <v>618</v>
      </c>
      <c r="F30" s="135" t="s">
        <v>619</v>
      </c>
      <c r="G30" s="358"/>
      <c r="H30" s="357" t="s">
        <v>563</v>
      </c>
      <c r="I30" s="136"/>
      <c r="J30" s="53"/>
      <c r="K30" s="53"/>
      <c r="L30" s="53"/>
      <c r="M30" s="53"/>
      <c r="N30" s="119" t="n">
        <f>O30+P30+Q30+R30</f>
        <v>1990</v>
      </c>
      <c r="O30" s="119" t="n">
        <f>X30</f>
        <v>0</v>
      </c>
      <c r="P30" s="119" t="n">
        <f>AA30+AE30+AI30+AM30+AQ30+AU30+AX30+BA30</f>
        <v>0</v>
      </c>
      <c r="Q30" s="119" t="n">
        <f>AB30+AF30+AJ30+AN30+AR30+AV30+BB30</f>
        <v>1990</v>
      </c>
      <c r="R30" s="119" t="n">
        <f>BD30+BF30</f>
        <v>0</v>
      </c>
      <c r="S30" s="119" t="n">
        <f>W30</f>
        <v>0</v>
      </c>
      <c r="T30" s="119" t="n">
        <f>Y30+AC30+AG30+AK30+AO30+AS30+AW30+AY30</f>
        <v>0</v>
      </c>
      <c r="U30" s="119" t="n">
        <f>Z30+AD30+AH30+AL30+AP30+AT30+AZ30</f>
        <v>2</v>
      </c>
      <c r="V30" s="119" t="n">
        <f>BC30+BE30</f>
        <v>0</v>
      </c>
      <c r="W30" s="60"/>
      <c r="X30" s="60" t="n">
        <f>W30*1696</f>
        <v>0</v>
      </c>
      <c r="Y30" s="120"/>
      <c r="Z30" s="120"/>
      <c r="AA30" s="120"/>
      <c r="AB30" s="120" t="n">
        <f>Z30*995</f>
        <v>0</v>
      </c>
      <c r="AC30" s="121"/>
      <c r="AD30" s="121"/>
      <c r="AE30" s="121" t="n">
        <f>AC30*1696</f>
        <v>0</v>
      </c>
      <c r="AF30" s="121" t="n">
        <f>AD30*995</f>
        <v>0</v>
      </c>
      <c r="AG30" s="120"/>
      <c r="AH30" s="120" t="n">
        <v>2</v>
      </c>
      <c r="AI30" s="120"/>
      <c r="AJ30" s="120" t="n">
        <f>AH30*995</f>
        <v>1990</v>
      </c>
      <c r="AK30" s="61"/>
      <c r="AL30" s="61"/>
      <c r="AM30" s="61"/>
      <c r="AN30" s="61" t="n">
        <f>AL30*995</f>
        <v>0</v>
      </c>
      <c r="AO30" s="60"/>
      <c r="AP30" s="60"/>
      <c r="AQ30" s="60"/>
      <c r="AR30" s="60" t="n">
        <f>AP30*995</f>
        <v>0</v>
      </c>
      <c r="AS30" s="122"/>
      <c r="AT30" s="122"/>
      <c r="AU30" s="122" t="n">
        <f>AS30*1696</f>
        <v>0</v>
      </c>
      <c r="AV30" s="122" t="n">
        <f>AT30*995</f>
        <v>0</v>
      </c>
      <c r="AW30" s="121"/>
      <c r="AX30" s="121"/>
      <c r="AY30" s="66"/>
      <c r="AZ30" s="66"/>
      <c r="BA30" s="66"/>
      <c r="BB30" s="123" t="n">
        <f>AZ30*995</f>
        <v>0</v>
      </c>
      <c r="BC30" s="67"/>
      <c r="BD30" s="124" t="n">
        <f>BC30*320</f>
        <v>0</v>
      </c>
      <c r="BE30" s="60"/>
      <c r="BF30" s="60" t="n">
        <f>BE30*320</f>
        <v>0</v>
      </c>
      <c r="BG30" s="125" t="n">
        <f>SUM(BH30:BL30)</f>
        <v>0</v>
      </c>
      <c r="BH30" s="61"/>
      <c r="BI30" s="61"/>
      <c r="BJ30" s="61"/>
      <c r="BK30" s="61"/>
      <c r="BL30" s="61"/>
      <c r="BM30" s="116"/>
      <c r="BN30" s="53"/>
      <c r="BO30" s="53"/>
      <c r="BP30" s="53"/>
      <c r="BQ30" s="53"/>
      <c r="BR30" s="54" t="n">
        <f>SUM(BT30,BW30,BX30,BZ30,CB30)</f>
        <v>0</v>
      </c>
      <c r="BS30" s="60"/>
      <c r="BT30" s="55"/>
      <c r="BU30" s="66"/>
      <c r="BV30" s="66"/>
      <c r="BW30" s="56"/>
      <c r="BX30" s="56" t="n">
        <f>BV30*995</f>
        <v>0</v>
      </c>
      <c r="BY30" s="67"/>
      <c r="BZ30" s="58" t="n">
        <f>BY30*320</f>
        <v>0</v>
      </c>
      <c r="CA30" s="68"/>
      <c r="CB30" s="59" t="n">
        <f>CA30*320</f>
        <v>0</v>
      </c>
      <c r="CC30" s="53" t="n">
        <f>SUM(CD30:CH30)</f>
        <v>0</v>
      </c>
      <c r="CD30" s="61"/>
      <c r="CE30" s="61"/>
      <c r="CF30" s="61"/>
      <c r="CG30" s="61"/>
      <c r="CH30" s="62"/>
      <c r="CI30" s="63"/>
      <c r="CJ30" s="129"/>
      <c r="CK30" s="129"/>
      <c r="CL30" s="130"/>
    </row>
    <row r="31" s="7" customFormat="1" ht="30" customHeight="1">
      <c r="A31" s="48" t="n">
        <v>27</v>
      </c>
      <c r="B31" s="131"/>
      <c r="C31" s="360" t="s">
        <v>598</v>
      </c>
      <c r="D31" s="358"/>
      <c r="E31" s="361" t="s">
        <v>620</v>
      </c>
      <c r="F31" s="135" t="s">
        <v>621</v>
      </c>
      <c r="G31" s="358"/>
      <c r="H31" s="357" t="s">
        <v>563</v>
      </c>
      <c r="I31" s="136"/>
      <c r="J31" s="53"/>
      <c r="K31" s="53"/>
      <c r="L31" s="53"/>
      <c r="M31" s="53"/>
      <c r="N31" s="119" t="n">
        <f>O31+P31+Q31+R31</f>
        <v>1990</v>
      </c>
      <c r="O31" s="119" t="n">
        <f>X31</f>
        <v>0</v>
      </c>
      <c r="P31" s="119" t="n">
        <f>AA31+AE31+AI31+AM31+AQ31+AU31+AX31+BA31</f>
        <v>0</v>
      </c>
      <c r="Q31" s="119" t="n">
        <f>AB31+AF31+AJ31+AN31+AR31+AV31+BB31</f>
        <v>1990</v>
      </c>
      <c r="R31" s="119" t="n">
        <f>BD31+BF31</f>
        <v>0</v>
      </c>
      <c r="S31" s="119" t="n">
        <f>W31</f>
        <v>0</v>
      </c>
      <c r="T31" s="119" t="n">
        <f>Y31+AC31+AG31+AK31+AO31+AS31+AW31+AY31</f>
        <v>0</v>
      </c>
      <c r="U31" s="119" t="n">
        <f>Z31+AD31+AH31+AL31+AP31+AT31+AZ31</f>
        <v>2</v>
      </c>
      <c r="V31" s="119" t="n">
        <f>BC31+BE31</f>
        <v>0</v>
      </c>
      <c r="W31" s="60"/>
      <c r="X31" s="60" t="n">
        <f>W31*1696</f>
        <v>0</v>
      </c>
      <c r="Y31" s="120"/>
      <c r="Z31" s="120"/>
      <c r="AA31" s="120"/>
      <c r="AB31" s="120" t="n">
        <f>Z31*995</f>
        <v>0</v>
      </c>
      <c r="AC31" s="121"/>
      <c r="AD31" s="121"/>
      <c r="AE31" s="121" t="n">
        <f>AC31*1696</f>
        <v>0</v>
      </c>
      <c r="AF31" s="121" t="n">
        <f>AD31*995</f>
        <v>0</v>
      </c>
      <c r="AG31" s="120"/>
      <c r="AH31" s="120" t="n">
        <v>2</v>
      </c>
      <c r="AI31" s="120"/>
      <c r="AJ31" s="120" t="n">
        <f>AH31*995</f>
        <v>1990</v>
      </c>
      <c r="AK31" s="61"/>
      <c r="AL31" s="61"/>
      <c r="AM31" s="61"/>
      <c r="AN31" s="61" t="n">
        <f>AL31*995</f>
        <v>0</v>
      </c>
      <c r="AO31" s="60"/>
      <c r="AP31" s="60"/>
      <c r="AQ31" s="60"/>
      <c r="AR31" s="60" t="n">
        <f>AP31*995</f>
        <v>0</v>
      </c>
      <c r="AS31" s="122"/>
      <c r="AT31" s="122"/>
      <c r="AU31" s="122" t="n">
        <f>AS31*1696</f>
        <v>0</v>
      </c>
      <c r="AV31" s="122" t="n">
        <f>AT31*995</f>
        <v>0</v>
      </c>
      <c r="AW31" s="121"/>
      <c r="AX31" s="121"/>
      <c r="AY31" s="66"/>
      <c r="AZ31" s="66"/>
      <c r="BA31" s="66"/>
      <c r="BB31" s="123" t="n">
        <f>AZ31*995</f>
        <v>0</v>
      </c>
      <c r="BC31" s="67"/>
      <c r="BD31" s="124" t="n">
        <f>BC31*320</f>
        <v>0</v>
      </c>
      <c r="BE31" s="60"/>
      <c r="BF31" s="60" t="n">
        <f>BE31*320</f>
        <v>0</v>
      </c>
      <c r="BG31" s="125" t="n">
        <f>SUM(BH31:BL31)</f>
        <v>0</v>
      </c>
      <c r="BH31" s="61"/>
      <c r="BI31" s="61"/>
      <c r="BJ31" s="61"/>
      <c r="BK31" s="61"/>
      <c r="BL31" s="61"/>
      <c r="BM31" s="116"/>
      <c r="BN31" s="53"/>
      <c r="BO31" s="53"/>
      <c r="BP31" s="53"/>
      <c r="BQ31" s="53"/>
      <c r="BR31" s="54"/>
      <c r="BS31" s="60"/>
      <c r="BT31" s="55"/>
      <c r="BU31" s="66"/>
      <c r="BV31" s="66"/>
      <c r="BW31" s="56"/>
      <c r="BX31" s="56" t="n">
        <f>BV31*995</f>
        <v>0</v>
      </c>
      <c r="BY31" s="67"/>
      <c r="BZ31" s="58" t="n">
        <f>BY31*320</f>
        <v>0</v>
      </c>
      <c r="CA31" s="68"/>
      <c r="CB31" s="59" t="n">
        <f>CA31*320</f>
        <v>0</v>
      </c>
      <c r="CC31" s="53" t="n">
        <f>SUM(CD31:CH31)</f>
        <v>0</v>
      </c>
      <c r="CD31" s="61"/>
      <c r="CE31" s="61"/>
      <c r="CF31" s="61"/>
      <c r="CG31" s="61"/>
      <c r="CH31" s="62"/>
      <c r="CI31" s="63"/>
      <c r="CJ31" s="129"/>
      <c r="CK31" s="129"/>
      <c r="CL31" s="130"/>
    </row>
    <row r="32" s="7" customFormat="1" ht="30" customHeight="1">
      <c r="A32" s="48" t="n">
        <v>28</v>
      </c>
      <c r="B32" s="131"/>
      <c r="C32" s="114" t="s">
        <v>598</v>
      </c>
      <c r="D32" s="132" t="s">
        <v>622</v>
      </c>
      <c r="E32" s="116" t="s">
        <v>623</v>
      </c>
      <c r="F32" s="135" t="s">
        <v>624</v>
      </c>
      <c r="G32" s="358"/>
      <c r="H32" s="357" t="s">
        <v>563</v>
      </c>
      <c r="I32" s="136"/>
      <c r="J32" s="53"/>
      <c r="K32" s="53"/>
      <c r="L32" s="53"/>
      <c r="M32" s="53"/>
      <c r="N32" s="119" t="n">
        <f>O32+P32+Q32+R32</f>
        <v>1990</v>
      </c>
      <c r="O32" s="119" t="n">
        <f>X32</f>
        <v>0</v>
      </c>
      <c r="P32" s="119" t="n">
        <f>AA32+AE32+AI32+AM32+AQ32+AU32+AX32+BA32</f>
        <v>0</v>
      </c>
      <c r="Q32" s="119" t="n">
        <f>AB32+AF32+AJ32+AN32+AR32+AV32+BB32</f>
        <v>1990</v>
      </c>
      <c r="R32" s="119" t="n">
        <f>BD32+BF32</f>
        <v>0</v>
      </c>
      <c r="S32" s="119" t="n">
        <f>W32</f>
        <v>0</v>
      </c>
      <c r="T32" s="119" t="n">
        <f>Y32+AC32+AG32+AK32+AO32+AS32+AW32+AY32</f>
        <v>0</v>
      </c>
      <c r="U32" s="119" t="n">
        <f>Z32+AD32+AH32+AL32+AP32+AT32+AZ32</f>
        <v>2</v>
      </c>
      <c r="V32" s="119" t="n">
        <f>BC32+BE32</f>
        <v>0</v>
      </c>
      <c r="W32" s="60"/>
      <c r="X32" s="60" t="n">
        <f>W32*1696</f>
        <v>0</v>
      </c>
      <c r="Y32" s="120"/>
      <c r="Z32" s="120"/>
      <c r="AA32" s="120"/>
      <c r="AB32" s="120" t="n">
        <f>Z32*995</f>
        <v>0</v>
      </c>
      <c r="AC32" s="121"/>
      <c r="AD32" s="121"/>
      <c r="AE32" s="121" t="n">
        <f>AC32*1696</f>
        <v>0</v>
      </c>
      <c r="AF32" s="121" t="n">
        <f>AD32*995</f>
        <v>0</v>
      </c>
      <c r="AG32" s="120"/>
      <c r="AH32" s="120" t="n">
        <v>2</v>
      </c>
      <c r="AI32" s="120"/>
      <c r="AJ32" s="120" t="n">
        <f>AH32*995</f>
        <v>1990</v>
      </c>
      <c r="AK32" s="61"/>
      <c r="AL32" s="61"/>
      <c r="AM32" s="61"/>
      <c r="AN32" s="61" t="n">
        <f>AL32*995</f>
        <v>0</v>
      </c>
      <c r="AO32" s="60"/>
      <c r="AP32" s="60"/>
      <c r="AQ32" s="60"/>
      <c r="AR32" s="60" t="n">
        <f>AP32*995</f>
        <v>0</v>
      </c>
      <c r="AS32" s="122"/>
      <c r="AT32" s="122"/>
      <c r="AU32" s="122" t="n">
        <f>AS32*1696</f>
        <v>0</v>
      </c>
      <c r="AV32" s="122" t="n">
        <f>AT32*995</f>
        <v>0</v>
      </c>
      <c r="AW32" s="121"/>
      <c r="AX32" s="121"/>
      <c r="AY32" s="66"/>
      <c r="AZ32" s="66"/>
      <c r="BA32" s="66"/>
      <c r="BB32" s="123" t="n">
        <f>AZ32*995</f>
        <v>0</v>
      </c>
      <c r="BC32" s="67"/>
      <c r="BD32" s="124" t="n">
        <f>BC32*320</f>
        <v>0</v>
      </c>
      <c r="BE32" s="60"/>
      <c r="BF32" s="60" t="n">
        <f>BE32*320</f>
        <v>0</v>
      </c>
      <c r="BG32" s="125" t="n">
        <f>SUM(BH32:BL32)</f>
        <v>0</v>
      </c>
      <c r="BH32" s="61"/>
      <c r="BI32" s="61"/>
      <c r="BJ32" s="61"/>
      <c r="BK32" s="61"/>
      <c r="BL32" s="61"/>
      <c r="BM32" s="116"/>
      <c r="BN32" s="53"/>
      <c r="BO32" s="53"/>
      <c r="BP32" s="53"/>
      <c r="BQ32" s="53"/>
      <c r="BR32" s="54"/>
      <c r="BS32" s="60"/>
      <c r="BT32" s="55"/>
      <c r="BU32" s="66"/>
      <c r="BV32" s="66"/>
      <c r="BW32" s="56"/>
      <c r="BX32" s="56" t="n">
        <f>BV32*995</f>
        <v>0</v>
      </c>
      <c r="BY32" s="67"/>
      <c r="BZ32" s="58" t="n">
        <f>BY32*320</f>
        <v>0</v>
      </c>
      <c r="CA32" s="68"/>
      <c r="CB32" s="59" t="n">
        <f>CA32*320</f>
        <v>0</v>
      </c>
      <c r="CC32" s="53" t="n">
        <f>SUM(CD32:CH32)</f>
        <v>0</v>
      </c>
      <c r="CD32" s="61"/>
      <c r="CE32" s="61"/>
      <c r="CF32" s="61"/>
      <c r="CG32" s="61"/>
      <c r="CH32" s="62"/>
      <c r="CI32" s="63"/>
      <c r="CJ32" s="129"/>
      <c r="CK32" s="129"/>
      <c r="CL32" s="130"/>
    </row>
    <row r="33" s="7" customFormat="1" ht="30" customHeight="1">
      <c r="A33" s="48" t="n">
        <v>29</v>
      </c>
      <c r="B33" s="131"/>
      <c r="C33" s="114" t="s">
        <v>598</v>
      </c>
      <c r="D33" s="353"/>
      <c r="E33" s="116" t="s">
        <v>625</v>
      </c>
      <c r="F33" s="135" t="s">
        <v>626</v>
      </c>
      <c r="G33" s="358"/>
      <c r="H33" s="357" t="s">
        <v>563</v>
      </c>
      <c r="I33" s="136"/>
      <c r="J33" s="53"/>
      <c r="K33" s="53"/>
      <c r="L33" s="53"/>
      <c r="M33" s="53"/>
      <c r="N33" s="119" t="n">
        <f>O33+P33+Q33+R33</f>
        <v>1990</v>
      </c>
      <c r="O33" s="119" t="n">
        <f>X33</f>
        <v>0</v>
      </c>
      <c r="P33" s="119" t="n">
        <f>AA33+AE33+AI33+AM33+AQ33+AU33+AX33+BA33</f>
        <v>0</v>
      </c>
      <c r="Q33" s="119" t="n">
        <f>AB33+AF33+AJ33+AN33+AR33+AV33+BB33</f>
        <v>1990</v>
      </c>
      <c r="R33" s="119" t="n">
        <f>BD33+BF33</f>
        <v>0</v>
      </c>
      <c r="S33" s="119" t="n">
        <f>W33</f>
        <v>0</v>
      </c>
      <c r="T33" s="119" t="n">
        <f>Y33+AC33+AG33+AK33+AO33+AS33+AW33+AY33</f>
        <v>0</v>
      </c>
      <c r="U33" s="119" t="n">
        <f>Z33+AD33+AH33+AL33+AP33+AT33+AZ33</f>
        <v>2</v>
      </c>
      <c r="V33" s="119" t="n">
        <f>BC33+BE33</f>
        <v>0</v>
      </c>
      <c r="W33" s="60"/>
      <c r="X33" s="60" t="n">
        <f>W33*1696</f>
        <v>0</v>
      </c>
      <c r="Y33" s="120"/>
      <c r="Z33" s="120"/>
      <c r="AA33" s="120"/>
      <c r="AB33" s="120" t="n">
        <f>Z33*995</f>
        <v>0</v>
      </c>
      <c r="AC33" s="121"/>
      <c r="AD33" s="121"/>
      <c r="AE33" s="121" t="n">
        <f>AC33*1696</f>
        <v>0</v>
      </c>
      <c r="AF33" s="121" t="n">
        <f>AD33*995</f>
        <v>0</v>
      </c>
      <c r="AG33" s="120"/>
      <c r="AH33" s="120" t="n">
        <v>2</v>
      </c>
      <c r="AI33" s="120"/>
      <c r="AJ33" s="120" t="n">
        <f>AH33*995</f>
        <v>1990</v>
      </c>
      <c r="AK33" s="61"/>
      <c r="AL33" s="61"/>
      <c r="AM33" s="61"/>
      <c r="AN33" s="61" t="n">
        <f>AL33*995</f>
        <v>0</v>
      </c>
      <c r="AO33" s="60"/>
      <c r="AP33" s="60"/>
      <c r="AQ33" s="60"/>
      <c r="AR33" s="60" t="n">
        <f>AP33*995</f>
        <v>0</v>
      </c>
      <c r="AS33" s="122"/>
      <c r="AT33" s="122"/>
      <c r="AU33" s="122" t="n">
        <f>AS33*1696</f>
        <v>0</v>
      </c>
      <c r="AV33" s="122" t="n">
        <f>AT33*995</f>
        <v>0</v>
      </c>
      <c r="AW33" s="121"/>
      <c r="AX33" s="121"/>
      <c r="AY33" s="66"/>
      <c r="AZ33" s="66"/>
      <c r="BA33" s="66"/>
      <c r="BB33" s="123" t="n">
        <f>AZ33*995</f>
        <v>0</v>
      </c>
      <c r="BC33" s="67"/>
      <c r="BD33" s="124" t="n">
        <f>BC33*320</f>
        <v>0</v>
      </c>
      <c r="BE33" s="60"/>
      <c r="BF33" s="60" t="n">
        <f>BE33*320</f>
        <v>0</v>
      </c>
      <c r="BG33" s="125" t="n">
        <f>SUM(BH33:BL33)</f>
        <v>0</v>
      </c>
      <c r="BH33" s="61"/>
      <c r="BI33" s="61"/>
      <c r="BJ33" s="61"/>
      <c r="BK33" s="61"/>
      <c r="BL33" s="61"/>
      <c r="BM33" s="116"/>
      <c r="BN33" s="53"/>
      <c r="BO33" s="53"/>
      <c r="BP33" s="53"/>
      <c r="BQ33" s="53"/>
      <c r="BR33" s="54"/>
      <c r="BS33" s="60"/>
      <c r="BT33" s="55"/>
      <c r="BU33" s="66"/>
      <c r="BV33" s="66"/>
      <c r="BW33" s="56"/>
      <c r="BX33" s="56" t="n">
        <f>BV33*995</f>
        <v>0</v>
      </c>
      <c r="BY33" s="67"/>
      <c r="BZ33" s="58" t="n">
        <f>BY33*320</f>
        <v>0</v>
      </c>
      <c r="CA33" s="68"/>
      <c r="CB33" s="59" t="n">
        <f>CA33*320</f>
        <v>0</v>
      </c>
      <c r="CC33" s="53" t="n">
        <f>SUM(CD33:CH33)</f>
        <v>0</v>
      </c>
      <c r="CD33" s="61"/>
      <c r="CE33" s="61"/>
      <c r="CF33" s="61"/>
      <c r="CG33" s="61"/>
      <c r="CH33" s="62"/>
      <c r="CI33" s="63"/>
      <c r="CJ33" s="129"/>
      <c r="CK33" s="129"/>
      <c r="CL33" s="130"/>
    </row>
    <row r="34" s="7" customFormat="1" ht="30" customHeight="1">
      <c r="A34" s="48" t="n">
        <v>30</v>
      </c>
      <c r="B34" s="131"/>
      <c r="C34" s="114" t="s">
        <v>598</v>
      </c>
      <c r="D34" s="353"/>
      <c r="E34" s="116" t="s">
        <v>627</v>
      </c>
      <c r="F34" s="135" t="s">
        <v>628</v>
      </c>
      <c r="G34" s="358"/>
      <c r="H34" s="357" t="s">
        <v>563</v>
      </c>
      <c r="I34" s="136"/>
      <c r="J34" s="53"/>
      <c r="K34" s="53"/>
      <c r="L34" s="53"/>
      <c r="M34" s="53"/>
      <c r="N34" s="119" t="n">
        <f>O34+P34+Q34+R34</f>
        <v>1990</v>
      </c>
      <c r="O34" s="119" t="n">
        <f>X34</f>
        <v>0</v>
      </c>
      <c r="P34" s="119" t="n">
        <f>AA34+AE34+AI34+AM34+AQ34+AU34+AX34+BA34</f>
        <v>0</v>
      </c>
      <c r="Q34" s="119" t="n">
        <f>AB34+AF34+AJ34+AN34+AR34+AV34+BB34</f>
        <v>1990</v>
      </c>
      <c r="R34" s="119" t="n">
        <f>BD34+BF34</f>
        <v>0</v>
      </c>
      <c r="S34" s="119" t="n">
        <f>W34</f>
        <v>0</v>
      </c>
      <c r="T34" s="119" t="n">
        <f>Y34+AC34+AG34+AK34+AO34+AS34+AW34+AY34</f>
        <v>0</v>
      </c>
      <c r="U34" s="119" t="n">
        <f>Z34+AD34+AH34+AL34+AP34+AT34+AZ34</f>
        <v>2</v>
      </c>
      <c r="V34" s="119" t="n">
        <f>BC34+BE34</f>
        <v>0</v>
      </c>
      <c r="W34" s="60"/>
      <c r="X34" s="60" t="n">
        <f>W34*1696</f>
        <v>0</v>
      </c>
      <c r="Y34" s="120"/>
      <c r="Z34" s="120"/>
      <c r="AA34" s="120"/>
      <c r="AB34" s="120" t="n">
        <f>Z34*995</f>
        <v>0</v>
      </c>
      <c r="AC34" s="121"/>
      <c r="AD34" s="121"/>
      <c r="AE34" s="121" t="n">
        <f>AC34*1696</f>
        <v>0</v>
      </c>
      <c r="AF34" s="121" t="n">
        <f>AD34*995</f>
        <v>0</v>
      </c>
      <c r="AG34" s="120"/>
      <c r="AH34" s="120" t="n">
        <v>2</v>
      </c>
      <c r="AI34" s="120"/>
      <c r="AJ34" s="120" t="n">
        <f>AH34*995</f>
        <v>1990</v>
      </c>
      <c r="AK34" s="61"/>
      <c r="AL34" s="61"/>
      <c r="AM34" s="61"/>
      <c r="AN34" s="61" t="n">
        <f>AL34*995</f>
        <v>0</v>
      </c>
      <c r="AO34" s="60"/>
      <c r="AP34" s="60"/>
      <c r="AQ34" s="60"/>
      <c r="AR34" s="60" t="n">
        <f>AP34*995</f>
        <v>0</v>
      </c>
      <c r="AS34" s="122"/>
      <c r="AT34" s="122"/>
      <c r="AU34" s="122" t="n">
        <f>AS34*1696</f>
        <v>0</v>
      </c>
      <c r="AV34" s="122" t="n">
        <f>AT34*995</f>
        <v>0</v>
      </c>
      <c r="AW34" s="121"/>
      <c r="AX34" s="121"/>
      <c r="AY34" s="66"/>
      <c r="AZ34" s="66"/>
      <c r="BA34" s="66"/>
      <c r="BB34" s="123" t="n">
        <f>AZ34*995</f>
        <v>0</v>
      </c>
      <c r="BC34" s="67"/>
      <c r="BD34" s="124" t="n">
        <f>BC34*320</f>
        <v>0</v>
      </c>
      <c r="BE34" s="60"/>
      <c r="BF34" s="60" t="n">
        <f>BE34*320</f>
        <v>0</v>
      </c>
      <c r="BG34" s="125" t="n">
        <f>SUM(BH34:BL34)</f>
        <v>0</v>
      </c>
      <c r="BH34" s="61"/>
      <c r="BI34" s="61"/>
      <c r="BJ34" s="61"/>
      <c r="BK34" s="61"/>
      <c r="BL34" s="61"/>
      <c r="BM34" s="116"/>
      <c r="BN34" s="53"/>
      <c r="BO34" s="53"/>
      <c r="BP34" s="53"/>
      <c r="BQ34" s="53"/>
      <c r="BR34" s="54"/>
      <c r="BS34" s="60"/>
      <c r="BT34" s="55"/>
      <c r="BU34" s="66"/>
      <c r="BV34" s="66"/>
      <c r="BW34" s="56"/>
      <c r="BX34" s="56" t="n">
        <f>BV34*995</f>
        <v>0</v>
      </c>
      <c r="BY34" s="67"/>
      <c r="BZ34" s="58" t="n">
        <f>BY34*320</f>
        <v>0</v>
      </c>
      <c r="CA34" s="68"/>
      <c r="CB34" s="59" t="n">
        <f>CA34*320</f>
        <v>0</v>
      </c>
      <c r="CC34" s="53" t="n">
        <f>SUM(CD34:CH34)</f>
        <v>0</v>
      </c>
      <c r="CD34" s="61"/>
      <c r="CE34" s="61"/>
      <c r="CF34" s="61"/>
      <c r="CG34" s="61"/>
      <c r="CH34" s="62"/>
      <c r="CI34" s="63"/>
      <c r="CJ34" s="129"/>
      <c r="CK34" s="129"/>
      <c r="CL34" s="130"/>
    </row>
    <row r="35" s="7" customFormat="1" ht="30" customHeight="1">
      <c r="A35" s="48" t="n">
        <v>31</v>
      </c>
      <c r="B35" s="131"/>
      <c r="C35" s="360" t="s">
        <v>598</v>
      </c>
      <c r="D35" s="118" t="s">
        <v>629</v>
      </c>
      <c r="E35" s="361" t="s">
        <v>630</v>
      </c>
      <c r="F35" s="135" t="s">
        <v>631</v>
      </c>
      <c r="G35" s="358"/>
      <c r="H35" s="357" t="s">
        <v>563</v>
      </c>
      <c r="I35" s="136"/>
      <c r="J35" s="53"/>
      <c r="K35" s="53"/>
      <c r="L35" s="53"/>
      <c r="M35" s="53"/>
      <c r="N35" s="119" t="n">
        <f>O35+P35+Q35+R35</f>
        <v>1990</v>
      </c>
      <c r="O35" s="119" t="n">
        <f>X35</f>
        <v>0</v>
      </c>
      <c r="P35" s="119" t="n">
        <f>AA35+AE35+AI35+AM35+AQ35+AU35+AX35+BA35</f>
        <v>0</v>
      </c>
      <c r="Q35" s="119" t="n">
        <f>AB35+AF35+AJ35+AN35+AR35+AV35+BB35</f>
        <v>1990</v>
      </c>
      <c r="R35" s="119" t="n">
        <f>BD35+BF35</f>
        <v>0</v>
      </c>
      <c r="S35" s="119" t="n">
        <f>W35</f>
        <v>0</v>
      </c>
      <c r="T35" s="119" t="n">
        <f>Y35+AC35+AG35+AK35+AO35+AS35+AW35+AY35</f>
        <v>0</v>
      </c>
      <c r="U35" s="119" t="n">
        <f>Z35+AD35+AH35+AL35+AP35+AT35+AZ35</f>
        <v>2</v>
      </c>
      <c r="V35" s="119" t="n">
        <f>BC35+BE35</f>
        <v>0</v>
      </c>
      <c r="W35" s="60"/>
      <c r="X35" s="60" t="n">
        <f>W35*1696</f>
        <v>0</v>
      </c>
      <c r="Y35" s="120"/>
      <c r="Z35" s="120"/>
      <c r="AA35" s="120"/>
      <c r="AB35" s="120" t="n">
        <f>Z35*995</f>
        <v>0</v>
      </c>
      <c r="AC35" s="121"/>
      <c r="AD35" s="121"/>
      <c r="AE35" s="121" t="n">
        <f>AC35*1696</f>
        <v>0</v>
      </c>
      <c r="AF35" s="121" t="n">
        <f>AD35*995</f>
        <v>0</v>
      </c>
      <c r="AG35" s="120"/>
      <c r="AH35" s="120" t="n">
        <v>2</v>
      </c>
      <c r="AI35" s="120"/>
      <c r="AJ35" s="120" t="n">
        <f>AH35*995</f>
        <v>1990</v>
      </c>
      <c r="AK35" s="61"/>
      <c r="AL35" s="61"/>
      <c r="AM35" s="61"/>
      <c r="AN35" s="61" t="n">
        <f>AL35*995</f>
        <v>0</v>
      </c>
      <c r="AO35" s="60"/>
      <c r="AP35" s="60"/>
      <c r="AQ35" s="60"/>
      <c r="AR35" s="60" t="n">
        <f>AP35*995</f>
        <v>0</v>
      </c>
      <c r="AS35" s="122"/>
      <c r="AT35" s="122"/>
      <c r="AU35" s="122" t="n">
        <f>AS35*1696</f>
        <v>0</v>
      </c>
      <c r="AV35" s="122" t="n">
        <f>AT35*995</f>
        <v>0</v>
      </c>
      <c r="AW35" s="121"/>
      <c r="AX35" s="121"/>
      <c r="AY35" s="66"/>
      <c r="AZ35" s="66"/>
      <c r="BA35" s="66"/>
      <c r="BB35" s="123" t="n">
        <f>AZ35*995</f>
        <v>0</v>
      </c>
      <c r="BC35" s="67"/>
      <c r="BD35" s="124" t="n">
        <f>BC35*320</f>
        <v>0</v>
      </c>
      <c r="BE35" s="60"/>
      <c r="BF35" s="60" t="n">
        <f>BE35*320</f>
        <v>0</v>
      </c>
      <c r="BG35" s="125" t="n">
        <f>SUM(BH35:BL35)</f>
        <v>0</v>
      </c>
      <c r="BH35" s="61"/>
      <c r="BI35" s="61"/>
      <c r="BJ35" s="61"/>
      <c r="BK35" s="61"/>
      <c r="BL35" s="61"/>
      <c r="BM35" s="116"/>
      <c r="BN35" s="53"/>
      <c r="BO35" s="53"/>
      <c r="BP35" s="53"/>
      <c r="BQ35" s="53"/>
      <c r="BR35" s="54"/>
      <c r="BS35" s="60"/>
      <c r="BT35" s="55"/>
      <c r="BU35" s="66"/>
      <c r="BV35" s="66"/>
      <c r="BW35" s="56"/>
      <c r="BX35" s="56" t="n">
        <f>BV35*995</f>
        <v>0</v>
      </c>
      <c r="BY35" s="67"/>
      <c r="BZ35" s="58" t="n">
        <f>BY35*320</f>
        <v>0</v>
      </c>
      <c r="CA35" s="68"/>
      <c r="CB35" s="59" t="n">
        <f>CA35*320</f>
        <v>0</v>
      </c>
      <c r="CC35" s="53" t="n">
        <f>SUM(CD35:CH35)</f>
        <v>0</v>
      </c>
      <c r="CD35" s="61"/>
      <c r="CE35" s="61"/>
      <c r="CF35" s="61"/>
      <c r="CG35" s="61"/>
      <c r="CH35" s="62"/>
      <c r="CI35" s="63"/>
      <c r="CJ35" s="129"/>
      <c r="CK35" s="129"/>
      <c r="CL35" s="130"/>
    </row>
    <row r="36" s="7" customFormat="1" ht="30" customHeight="1">
      <c r="A36" s="48" t="n">
        <v>32</v>
      </c>
      <c r="B36" s="131"/>
      <c r="C36" s="360" t="s">
        <v>598</v>
      </c>
      <c r="D36" s="358"/>
      <c r="E36" s="361" t="s">
        <v>632</v>
      </c>
      <c r="F36" s="135" t="s">
        <v>633</v>
      </c>
      <c r="G36" s="358"/>
      <c r="H36" s="357" t="s">
        <v>563</v>
      </c>
      <c r="I36" s="136"/>
      <c r="J36" s="53"/>
      <c r="K36" s="53"/>
      <c r="L36" s="53"/>
      <c r="M36" s="53"/>
      <c r="N36" s="119" t="n">
        <f>O36+P36+Q36+R36</f>
        <v>0</v>
      </c>
      <c r="O36" s="119" t="n">
        <f>X36</f>
        <v>0</v>
      </c>
      <c r="P36" s="119" t="n">
        <f>AA36+AE36+AI36+AM36+AQ36+AU36+AX36+BA36</f>
        <v>0</v>
      </c>
      <c r="Q36" s="119" t="n">
        <f>AB36+AF36+AJ36+AN36+AR36+AV36+BB36</f>
        <v>0</v>
      </c>
      <c r="R36" s="119" t="n">
        <f>BD36+BF36</f>
        <v>0</v>
      </c>
      <c r="S36" s="119" t="n">
        <f>W36</f>
        <v>0</v>
      </c>
      <c r="T36" s="119" t="n">
        <f>Y36+AC36+AG36+AK36+AO36+AS36+AW36+AY36</f>
        <v>0</v>
      </c>
      <c r="U36" s="119" t="n">
        <f>Z36+AD36+AH36+AL36+AP36+AT36+AZ36</f>
        <v>0</v>
      </c>
      <c r="V36" s="119" t="n">
        <f>BC36+BE36</f>
        <v>0</v>
      </c>
      <c r="W36" s="60"/>
      <c r="X36" s="60" t="n">
        <f>W36*1696</f>
        <v>0</v>
      </c>
      <c r="Y36" s="120"/>
      <c r="Z36" s="120"/>
      <c r="AA36" s="120"/>
      <c r="AB36" s="120" t="n">
        <f>Z36*995</f>
        <v>0</v>
      </c>
      <c r="AC36" s="121"/>
      <c r="AD36" s="121"/>
      <c r="AE36" s="121" t="n">
        <f>AC36*1696</f>
        <v>0</v>
      </c>
      <c r="AF36" s="121" t="n">
        <f>AD36*995</f>
        <v>0</v>
      </c>
      <c r="AG36" s="120"/>
      <c r="AH36" s="120"/>
      <c r="AI36" s="120"/>
      <c r="AJ36" s="120" t="n">
        <f>AH36*995</f>
        <v>0</v>
      </c>
      <c r="AK36" s="61"/>
      <c r="AL36" s="61"/>
      <c r="AM36" s="61"/>
      <c r="AN36" s="61" t="n">
        <f>AL36*995</f>
        <v>0</v>
      </c>
      <c r="AO36" s="60"/>
      <c r="AP36" s="60"/>
      <c r="AQ36" s="60"/>
      <c r="AR36" s="60" t="n">
        <f>AP36*995</f>
        <v>0</v>
      </c>
      <c r="AS36" s="122"/>
      <c r="AT36" s="122"/>
      <c r="AU36" s="122" t="n">
        <f>AS36*1696</f>
        <v>0</v>
      </c>
      <c r="AV36" s="122" t="n">
        <f>AT36*995</f>
        <v>0</v>
      </c>
      <c r="AW36" s="121"/>
      <c r="AX36" s="121"/>
      <c r="AY36" s="66"/>
      <c r="AZ36" s="66"/>
      <c r="BA36" s="66"/>
      <c r="BB36" s="123" t="n">
        <f>AZ36*995</f>
        <v>0</v>
      </c>
      <c r="BC36" s="67"/>
      <c r="BD36" s="124" t="n">
        <f>BC36*320</f>
        <v>0</v>
      </c>
      <c r="BE36" s="60"/>
      <c r="BF36" s="60" t="n">
        <f>BE36*320</f>
        <v>0</v>
      </c>
      <c r="BG36" s="125" t="n">
        <f>SUM(BH36:BL36)</f>
        <v>0</v>
      </c>
      <c r="BH36" s="61"/>
      <c r="BI36" s="61"/>
      <c r="BJ36" s="61"/>
      <c r="BK36" s="61"/>
      <c r="BL36" s="61"/>
      <c r="BM36" s="116"/>
      <c r="BN36" s="53"/>
      <c r="BO36" s="53"/>
      <c r="BP36" s="53"/>
      <c r="BQ36" s="53"/>
      <c r="BR36" s="54"/>
      <c r="BS36" s="60"/>
      <c r="BT36" s="55"/>
      <c r="BU36" s="66"/>
      <c r="BV36" s="66"/>
      <c r="BW36" s="56"/>
      <c r="BX36" s="56" t="n">
        <f>BV36*995</f>
        <v>0</v>
      </c>
      <c r="BY36" s="67"/>
      <c r="BZ36" s="58" t="n">
        <f>BY36*320</f>
        <v>0</v>
      </c>
      <c r="CA36" s="68"/>
      <c r="CB36" s="59" t="n">
        <f>CA36*320</f>
        <v>0</v>
      </c>
      <c r="CC36" s="53" t="n">
        <f>SUM(CD36:CH36)</f>
        <v>0</v>
      </c>
      <c r="CD36" s="61"/>
      <c r="CE36" s="61"/>
      <c r="CF36" s="61"/>
      <c r="CG36" s="61"/>
      <c r="CH36" s="62"/>
      <c r="CI36" s="63"/>
      <c r="CJ36" s="129"/>
      <c r="CK36" s="129"/>
      <c r="CL36" s="130"/>
    </row>
    <row r="37" s="7" customFormat="1" ht="30" customHeight="1">
      <c r="A37" s="48" t="n">
        <v>33</v>
      </c>
      <c r="B37" s="131"/>
      <c r="C37" s="360" t="s">
        <v>598</v>
      </c>
      <c r="D37" s="358"/>
      <c r="E37" s="361" t="s">
        <v>634</v>
      </c>
      <c r="F37" s="135" t="s">
        <v>635</v>
      </c>
      <c r="G37" s="358"/>
      <c r="H37" s="357" t="s">
        <v>563</v>
      </c>
      <c r="I37" s="136"/>
      <c r="J37" s="53"/>
      <c r="K37" s="53"/>
      <c r="L37" s="53"/>
      <c r="M37" s="53"/>
      <c r="N37" s="119" t="n">
        <f>O37+P37+Q37+R37</f>
        <v>0</v>
      </c>
      <c r="O37" s="119" t="n">
        <f>X37</f>
        <v>0</v>
      </c>
      <c r="P37" s="119" t="n">
        <f>AA37+AE37+AI37+AM37+AQ37+AU37+AX37+BA37</f>
        <v>0</v>
      </c>
      <c r="Q37" s="119" t="n">
        <f>AB37+AF37+AJ37+AN37+AR37+AV37+BB37</f>
        <v>0</v>
      </c>
      <c r="R37" s="119" t="n">
        <f>BD37+BF37</f>
        <v>0</v>
      </c>
      <c r="S37" s="119" t="n">
        <f>W37</f>
        <v>0</v>
      </c>
      <c r="T37" s="119" t="n">
        <f>Y37+AC37+AG37+AK37+AO37+AS37+AW37+AY37</f>
        <v>0</v>
      </c>
      <c r="U37" s="119" t="n">
        <f>Z37+AD37+AH37+AL37+AP37+AT37+AZ37</f>
        <v>0</v>
      </c>
      <c r="V37" s="119" t="n">
        <f>BC37+BE37</f>
        <v>0</v>
      </c>
      <c r="W37" s="60"/>
      <c r="X37" s="60" t="n">
        <f>W37*1696</f>
        <v>0</v>
      </c>
      <c r="Y37" s="120"/>
      <c r="Z37" s="120"/>
      <c r="AA37" s="120"/>
      <c r="AB37" s="120" t="n">
        <f>Z37*995</f>
        <v>0</v>
      </c>
      <c r="AC37" s="121"/>
      <c r="AD37" s="121"/>
      <c r="AE37" s="121" t="n">
        <f>AC37*1696</f>
        <v>0</v>
      </c>
      <c r="AF37" s="121" t="n">
        <f>AD37*995</f>
        <v>0</v>
      </c>
      <c r="AG37" s="120"/>
      <c r="AH37" s="120"/>
      <c r="AI37" s="120"/>
      <c r="AJ37" s="120" t="n">
        <f>AH37*995</f>
        <v>0</v>
      </c>
      <c r="AK37" s="61"/>
      <c r="AL37" s="61"/>
      <c r="AM37" s="61"/>
      <c r="AN37" s="61" t="n">
        <f>AL37*995</f>
        <v>0</v>
      </c>
      <c r="AO37" s="60"/>
      <c r="AP37" s="60"/>
      <c r="AQ37" s="60"/>
      <c r="AR37" s="60" t="n">
        <f>AP37*995</f>
        <v>0</v>
      </c>
      <c r="AS37" s="122"/>
      <c r="AT37" s="122"/>
      <c r="AU37" s="122" t="n">
        <f>AS37*1696</f>
        <v>0</v>
      </c>
      <c r="AV37" s="122" t="n">
        <f>AT37*995</f>
        <v>0</v>
      </c>
      <c r="AW37" s="121"/>
      <c r="AX37" s="121"/>
      <c r="AY37" s="66"/>
      <c r="AZ37" s="66"/>
      <c r="BA37" s="66"/>
      <c r="BB37" s="123" t="n">
        <f>AZ37*995</f>
        <v>0</v>
      </c>
      <c r="BC37" s="67"/>
      <c r="BD37" s="124" t="n">
        <f>BC37*320</f>
        <v>0</v>
      </c>
      <c r="BE37" s="60"/>
      <c r="BF37" s="60" t="n">
        <f>BE37*320</f>
        <v>0</v>
      </c>
      <c r="BG37" s="125" t="n">
        <f>SUM(BH37:BL37)</f>
        <v>0</v>
      </c>
      <c r="BH37" s="61"/>
      <c r="BI37" s="61"/>
      <c r="BJ37" s="61"/>
      <c r="BK37" s="61"/>
      <c r="BL37" s="61"/>
      <c r="BM37" s="116"/>
      <c r="BN37" s="53"/>
      <c r="BO37" s="53"/>
      <c r="BP37" s="53"/>
      <c r="BQ37" s="53"/>
      <c r="BR37" s="54"/>
      <c r="BS37" s="60"/>
      <c r="BT37" s="55"/>
      <c r="BU37" s="66"/>
      <c r="BV37" s="66"/>
      <c r="BW37" s="56"/>
      <c r="BX37" s="56" t="n">
        <f>BV37*995</f>
        <v>0</v>
      </c>
      <c r="BY37" s="67"/>
      <c r="BZ37" s="58" t="n">
        <f>BY37*320</f>
        <v>0</v>
      </c>
      <c r="CA37" s="68"/>
      <c r="CB37" s="59" t="n">
        <f>CA37*320</f>
        <v>0</v>
      </c>
      <c r="CC37" s="53" t="n">
        <f>SUM(CD37:CH37)</f>
        <v>0</v>
      </c>
      <c r="CD37" s="61"/>
      <c r="CE37" s="61"/>
      <c r="CF37" s="61"/>
      <c r="CG37" s="61"/>
      <c r="CH37" s="62"/>
      <c r="CI37" s="63"/>
      <c r="CJ37" s="129"/>
      <c r="CK37" s="129"/>
      <c r="CL37" s="130"/>
    </row>
    <row r="38" s="7" customFormat="1" ht="30" customHeight="1">
      <c r="A38" s="48" t="n">
        <v>34</v>
      </c>
      <c r="B38" s="131"/>
      <c r="C38" s="360" t="s">
        <v>598</v>
      </c>
      <c r="D38" s="358"/>
      <c r="E38" s="361" t="s">
        <v>636</v>
      </c>
      <c r="F38" s="135" t="s">
        <v>637</v>
      </c>
      <c r="G38" s="358"/>
      <c r="H38" s="357" t="s">
        <v>563</v>
      </c>
      <c r="I38" s="136"/>
      <c r="J38" s="53"/>
      <c r="K38" s="53"/>
      <c r="L38" s="53"/>
      <c r="M38" s="53"/>
      <c r="N38" s="119" t="n">
        <f>O38+P38+Q38+R38</f>
        <v>0</v>
      </c>
      <c r="O38" s="119" t="n">
        <f>X38</f>
        <v>0</v>
      </c>
      <c r="P38" s="119" t="n">
        <f>AA38+AE38+AI38+AM38+AQ38+AU38+AX38+BA38</f>
        <v>0</v>
      </c>
      <c r="Q38" s="119" t="n">
        <f>AB38+AF38+AJ38+AN38+AR38+AV38+BB38</f>
        <v>0</v>
      </c>
      <c r="R38" s="119" t="n">
        <f>BD38+BF38</f>
        <v>0</v>
      </c>
      <c r="S38" s="119" t="n">
        <f>W38</f>
        <v>0</v>
      </c>
      <c r="T38" s="119" t="n">
        <f>Y38+AC38+AG38+AK38+AO38+AS38+AW38+AY38</f>
        <v>0</v>
      </c>
      <c r="U38" s="119" t="n">
        <f>Z38+AD38+AH38+AL38+AP38+AT38+AZ38</f>
        <v>0</v>
      </c>
      <c r="V38" s="119" t="n">
        <f>BC38+BE38</f>
        <v>0</v>
      </c>
      <c r="W38" s="60"/>
      <c r="X38" s="60" t="n">
        <f>W38*1696</f>
        <v>0</v>
      </c>
      <c r="Y38" s="120"/>
      <c r="Z38" s="120"/>
      <c r="AA38" s="120"/>
      <c r="AB38" s="120" t="n">
        <f>Z38*995</f>
        <v>0</v>
      </c>
      <c r="AC38" s="121"/>
      <c r="AD38" s="121"/>
      <c r="AE38" s="121" t="n">
        <f>AC38*1696</f>
        <v>0</v>
      </c>
      <c r="AF38" s="121" t="n">
        <f>AD38*995</f>
        <v>0</v>
      </c>
      <c r="AG38" s="120"/>
      <c r="AH38" s="120"/>
      <c r="AI38" s="120"/>
      <c r="AJ38" s="120" t="n">
        <f>AH38*995</f>
        <v>0</v>
      </c>
      <c r="AK38" s="61"/>
      <c r="AL38" s="61"/>
      <c r="AM38" s="61"/>
      <c r="AN38" s="61" t="n">
        <f>AL38*995</f>
        <v>0</v>
      </c>
      <c r="AO38" s="60"/>
      <c r="AP38" s="60"/>
      <c r="AQ38" s="60"/>
      <c r="AR38" s="60" t="n">
        <f>AP38*995</f>
        <v>0</v>
      </c>
      <c r="AS38" s="122"/>
      <c r="AT38" s="122"/>
      <c r="AU38" s="122" t="n">
        <f>AS38*1696</f>
        <v>0</v>
      </c>
      <c r="AV38" s="122" t="n">
        <f>AT38*995</f>
        <v>0</v>
      </c>
      <c r="AW38" s="121"/>
      <c r="AX38" s="121"/>
      <c r="AY38" s="66"/>
      <c r="AZ38" s="66"/>
      <c r="BA38" s="66"/>
      <c r="BB38" s="123" t="n">
        <f>AZ38*995</f>
        <v>0</v>
      </c>
      <c r="BC38" s="67"/>
      <c r="BD38" s="124" t="n">
        <f>BC38*320</f>
        <v>0</v>
      </c>
      <c r="BE38" s="60"/>
      <c r="BF38" s="60" t="n">
        <f>BE38*320</f>
        <v>0</v>
      </c>
      <c r="BG38" s="125" t="n">
        <f>SUM(BH38:BL38)</f>
        <v>0</v>
      </c>
      <c r="BH38" s="61"/>
      <c r="BI38" s="61"/>
      <c r="BJ38" s="61"/>
      <c r="BK38" s="61"/>
      <c r="BL38" s="61"/>
      <c r="BM38" s="116"/>
      <c r="BN38" s="53"/>
      <c r="BO38" s="53"/>
      <c r="BP38" s="53"/>
      <c r="BQ38" s="53"/>
      <c r="BR38" s="54"/>
      <c r="BS38" s="60"/>
      <c r="BT38" s="55"/>
      <c r="BU38" s="66"/>
      <c r="BV38" s="66"/>
      <c r="BW38" s="56"/>
      <c r="BX38" s="56" t="n">
        <f>BV38*995</f>
        <v>0</v>
      </c>
      <c r="BY38" s="67"/>
      <c r="BZ38" s="58" t="n">
        <f>BY38*320</f>
        <v>0</v>
      </c>
      <c r="CA38" s="68"/>
      <c r="CB38" s="59" t="n">
        <f>CA38*320</f>
        <v>0</v>
      </c>
      <c r="CC38" s="53" t="n">
        <f>SUM(CD38:CH38)</f>
        <v>0</v>
      </c>
      <c r="CD38" s="61"/>
      <c r="CE38" s="61"/>
      <c r="CF38" s="61"/>
      <c r="CG38" s="61"/>
      <c r="CH38" s="62"/>
      <c r="CI38" s="63"/>
      <c r="CJ38" s="129"/>
      <c r="CK38" s="129"/>
      <c r="CL38" s="130"/>
    </row>
    <row r="39" s="7" customFormat="1" ht="30" customHeight="1">
      <c r="A39" s="48" t="n">
        <v>35</v>
      </c>
      <c r="B39" s="131"/>
      <c r="C39" s="360" t="s">
        <v>598</v>
      </c>
      <c r="D39" s="358"/>
      <c r="E39" s="361" t="s">
        <v>638</v>
      </c>
      <c r="F39" s="135" t="s">
        <v>639</v>
      </c>
      <c r="G39" s="358"/>
      <c r="H39" s="357" t="s">
        <v>563</v>
      </c>
      <c r="I39" s="136"/>
      <c r="J39" s="53"/>
      <c r="K39" s="53"/>
      <c r="L39" s="53"/>
      <c r="M39" s="53"/>
      <c r="N39" s="119" t="n">
        <f>O39+P39+Q39+R39</f>
        <v>0</v>
      </c>
      <c r="O39" s="119" t="n">
        <f>X39</f>
        <v>0</v>
      </c>
      <c r="P39" s="119" t="n">
        <f>AA39+AE39+AI39+AM39+AQ39+AU39+AX39+BA39</f>
        <v>0</v>
      </c>
      <c r="Q39" s="119" t="n">
        <f>AB39+AF39+AJ39+AN39+AR39+AV39+BB39</f>
        <v>0</v>
      </c>
      <c r="R39" s="119" t="n">
        <f>BD39+BF39</f>
        <v>0</v>
      </c>
      <c r="S39" s="119" t="n">
        <f>W39</f>
        <v>0</v>
      </c>
      <c r="T39" s="119" t="n">
        <f>Y39+AC39+AG39+AK39+AO39+AS39+AW39+AY39</f>
        <v>0</v>
      </c>
      <c r="U39" s="119" t="n">
        <f>Z39+AD39+AH39+AL39+AP39+AT39+AZ39</f>
        <v>0</v>
      </c>
      <c r="V39" s="119" t="n">
        <f>BC39+BE39</f>
        <v>0</v>
      </c>
      <c r="W39" s="60"/>
      <c r="X39" s="60" t="n">
        <f>W39*1696</f>
        <v>0</v>
      </c>
      <c r="Y39" s="120"/>
      <c r="Z39" s="120"/>
      <c r="AA39" s="120"/>
      <c r="AB39" s="120" t="n">
        <f>Z39*995</f>
        <v>0</v>
      </c>
      <c r="AC39" s="121"/>
      <c r="AD39" s="121"/>
      <c r="AE39" s="121" t="n">
        <f>AC39*1696</f>
        <v>0</v>
      </c>
      <c r="AF39" s="121" t="n">
        <f>AD39*995</f>
        <v>0</v>
      </c>
      <c r="AG39" s="120"/>
      <c r="AH39" s="120"/>
      <c r="AI39" s="120"/>
      <c r="AJ39" s="120" t="n">
        <f>AH39*995</f>
        <v>0</v>
      </c>
      <c r="AK39" s="61"/>
      <c r="AL39" s="61"/>
      <c r="AM39" s="61"/>
      <c r="AN39" s="61" t="n">
        <f>AL39*995</f>
        <v>0</v>
      </c>
      <c r="AO39" s="60"/>
      <c r="AP39" s="60"/>
      <c r="AQ39" s="60"/>
      <c r="AR39" s="60" t="n">
        <f>AP39*995</f>
        <v>0</v>
      </c>
      <c r="AS39" s="122"/>
      <c r="AT39" s="122"/>
      <c r="AU39" s="122" t="n">
        <f>AS39*1696</f>
        <v>0</v>
      </c>
      <c r="AV39" s="122" t="n">
        <f>AT39*995</f>
        <v>0</v>
      </c>
      <c r="AW39" s="121"/>
      <c r="AX39" s="121"/>
      <c r="AY39" s="66"/>
      <c r="AZ39" s="66"/>
      <c r="BA39" s="66"/>
      <c r="BB39" s="123" t="n">
        <f>AZ39*995</f>
        <v>0</v>
      </c>
      <c r="BC39" s="67"/>
      <c r="BD39" s="124" t="n">
        <f>BC39*320</f>
        <v>0</v>
      </c>
      <c r="BE39" s="60"/>
      <c r="BF39" s="60" t="n">
        <f>BE39*320</f>
        <v>0</v>
      </c>
      <c r="BG39" s="125" t="n">
        <f>SUM(BH39:BL39)</f>
        <v>0</v>
      </c>
      <c r="BH39" s="61"/>
      <c r="BI39" s="61"/>
      <c r="BJ39" s="61"/>
      <c r="BK39" s="61"/>
      <c r="BL39" s="61"/>
      <c r="BM39" s="116"/>
      <c r="BN39" s="53"/>
      <c r="BO39" s="53"/>
      <c r="BP39" s="53"/>
      <c r="BQ39" s="53"/>
      <c r="BR39" s="54"/>
      <c r="BS39" s="60"/>
      <c r="BT39" s="55"/>
      <c r="BU39" s="66"/>
      <c r="BV39" s="66"/>
      <c r="BW39" s="56"/>
      <c r="BX39" s="56" t="n">
        <f>BV39*995</f>
        <v>0</v>
      </c>
      <c r="BY39" s="67"/>
      <c r="BZ39" s="58" t="n">
        <f>BY39*320</f>
        <v>0</v>
      </c>
      <c r="CA39" s="68"/>
      <c r="CB39" s="59" t="n">
        <f>CA39*320</f>
        <v>0</v>
      </c>
      <c r="CC39" s="53" t="n">
        <f>SUM(CD39:CH39)</f>
        <v>0</v>
      </c>
      <c r="CD39" s="61"/>
      <c r="CE39" s="61"/>
      <c r="CF39" s="61"/>
      <c r="CG39" s="61"/>
      <c r="CH39" s="62"/>
      <c r="CI39" s="63"/>
      <c r="CJ39" s="129"/>
      <c r="CK39" s="129"/>
      <c r="CL39" s="130"/>
    </row>
    <row r="40" s="7" customFormat="1" ht="30" customHeight="1">
      <c r="A40" s="48" t="n">
        <v>36</v>
      </c>
      <c r="B40" s="137"/>
      <c r="C40" s="360" t="s">
        <v>598</v>
      </c>
      <c r="D40" s="358"/>
      <c r="E40" s="361" t="s">
        <v>640</v>
      </c>
      <c r="F40" s="135" t="s">
        <v>641</v>
      </c>
      <c r="G40" s="358"/>
      <c r="H40" s="357" t="s">
        <v>563</v>
      </c>
      <c r="I40" s="136"/>
      <c r="J40" s="53"/>
      <c r="K40" s="53"/>
      <c r="L40" s="53"/>
      <c r="M40" s="53"/>
      <c r="N40" s="119" t="n">
        <f>O40+P40+Q40+R40</f>
        <v>0</v>
      </c>
      <c r="O40" s="119" t="n">
        <f>X40</f>
        <v>0</v>
      </c>
      <c r="P40" s="119" t="n">
        <f>AA40+AE40+AI40+AM40+AQ40+AU40+AX40+BA40</f>
        <v>0</v>
      </c>
      <c r="Q40" s="119" t="n">
        <f>AB40+AF40+AJ40+AN40+AR40+AV40+BB40</f>
        <v>0</v>
      </c>
      <c r="R40" s="119" t="n">
        <f>BD40+BF40</f>
        <v>0</v>
      </c>
      <c r="S40" s="119" t="n">
        <f>W40</f>
        <v>0</v>
      </c>
      <c r="T40" s="119" t="n">
        <f>Y40+AC40+AG40+AK40+AO40+AS40+AW40+AY40</f>
        <v>0</v>
      </c>
      <c r="U40" s="119" t="n">
        <f>Z40+AD40+AH40+AL40+AP40+AT40+AZ40</f>
        <v>0</v>
      </c>
      <c r="V40" s="119" t="n">
        <f>BC40+BE40</f>
        <v>0</v>
      </c>
      <c r="W40" s="60"/>
      <c r="X40" s="60" t="n">
        <f>W40*1696</f>
        <v>0</v>
      </c>
      <c r="Y40" s="120"/>
      <c r="Z40" s="120"/>
      <c r="AA40" s="120"/>
      <c r="AB40" s="120" t="n">
        <f>Z40*995</f>
        <v>0</v>
      </c>
      <c r="AC40" s="121"/>
      <c r="AD40" s="121"/>
      <c r="AE40" s="121" t="n">
        <f>AC40*1696</f>
        <v>0</v>
      </c>
      <c r="AF40" s="121" t="n">
        <f>AD40*995</f>
        <v>0</v>
      </c>
      <c r="AG40" s="120"/>
      <c r="AH40" s="120"/>
      <c r="AI40" s="120"/>
      <c r="AJ40" s="120" t="n">
        <f>AH40*995</f>
        <v>0</v>
      </c>
      <c r="AK40" s="61"/>
      <c r="AL40" s="61"/>
      <c r="AM40" s="61"/>
      <c r="AN40" s="61" t="n">
        <f>AL40*995</f>
        <v>0</v>
      </c>
      <c r="AO40" s="60"/>
      <c r="AP40" s="60"/>
      <c r="AQ40" s="60"/>
      <c r="AR40" s="60" t="n">
        <f>AP40*995</f>
        <v>0</v>
      </c>
      <c r="AS40" s="122"/>
      <c r="AT40" s="122"/>
      <c r="AU40" s="122" t="n">
        <f>AS40*1696</f>
        <v>0</v>
      </c>
      <c r="AV40" s="122" t="n">
        <f>AT40*995</f>
        <v>0</v>
      </c>
      <c r="AW40" s="121"/>
      <c r="AX40" s="121"/>
      <c r="AY40" s="66"/>
      <c r="AZ40" s="66"/>
      <c r="BA40" s="66"/>
      <c r="BB40" s="123" t="n">
        <f>AZ40*995</f>
        <v>0</v>
      </c>
      <c r="BC40" s="67"/>
      <c r="BD40" s="124" t="n">
        <f>BC40*320</f>
        <v>0</v>
      </c>
      <c r="BE40" s="60"/>
      <c r="BF40" s="60" t="n">
        <f>BE40*320</f>
        <v>0</v>
      </c>
      <c r="BG40" s="125" t="n">
        <f>SUM(BH40:BL40)</f>
        <v>0</v>
      </c>
      <c r="BH40" s="61"/>
      <c r="BI40" s="61"/>
      <c r="BJ40" s="61"/>
      <c r="BK40" s="61"/>
      <c r="BL40" s="61"/>
      <c r="BM40" s="116"/>
      <c r="BN40" s="53"/>
      <c r="BO40" s="53"/>
      <c r="BP40" s="53"/>
      <c r="BQ40" s="53"/>
      <c r="BR40" s="54"/>
      <c r="BS40" s="60"/>
      <c r="BT40" s="55"/>
      <c r="BU40" s="66"/>
      <c r="BV40" s="66"/>
      <c r="BW40" s="56"/>
      <c r="BX40" s="56" t="n">
        <f>BV40*995</f>
        <v>0</v>
      </c>
      <c r="BY40" s="67"/>
      <c r="BZ40" s="58" t="n">
        <f>BY40*320</f>
        <v>0</v>
      </c>
      <c r="CA40" s="68"/>
      <c r="CB40" s="59" t="n">
        <f>CA40*320</f>
        <v>0</v>
      </c>
      <c r="CC40" s="53" t="n">
        <f>SUM(CD40:CH40)</f>
        <v>0</v>
      </c>
      <c r="CD40" s="61"/>
      <c r="CE40" s="61"/>
      <c r="CF40" s="61"/>
      <c r="CG40" s="61"/>
      <c r="CH40" s="62"/>
      <c r="CI40" s="63"/>
      <c r="CJ40" s="129"/>
      <c r="CK40" s="129"/>
      <c r="CL40" s="130"/>
    </row>
    <row r="41" s="7" customFormat="1" ht="30" customHeight="1">
      <c r="A41" s="48" t="n">
        <v>37</v>
      </c>
      <c r="B41" s="138"/>
      <c r="C41" s="360" t="s">
        <v>598</v>
      </c>
      <c r="D41" s="358"/>
      <c r="E41" s="361" t="s">
        <v>642</v>
      </c>
      <c r="F41" s="135" t="s">
        <v>643</v>
      </c>
      <c r="G41" s="358"/>
      <c r="H41" s="357" t="s">
        <v>563</v>
      </c>
      <c r="I41" s="136"/>
      <c r="J41" s="53"/>
      <c r="K41" s="53"/>
      <c r="L41" s="53"/>
      <c r="M41" s="53"/>
      <c r="N41" s="119" t="n">
        <f>O41+P41+Q41+R41</f>
        <v>0</v>
      </c>
      <c r="O41" s="119" t="n">
        <f>X41</f>
        <v>0</v>
      </c>
      <c r="P41" s="119" t="n">
        <f>AA41+AE41+AI41+AM41+AQ41+AU41+AX41+BA41</f>
        <v>0</v>
      </c>
      <c r="Q41" s="119" t="n">
        <f>AB41+AF41+AJ41+AN41+AR41+AV41+BB41</f>
        <v>0</v>
      </c>
      <c r="R41" s="119" t="n">
        <f>BD41+BF41</f>
        <v>0</v>
      </c>
      <c r="S41" s="119" t="n">
        <f>W41</f>
        <v>0</v>
      </c>
      <c r="T41" s="119" t="n">
        <f>Y41+AC41+AG41+AK41+AO41+AS41+AW41+AY41</f>
        <v>0</v>
      </c>
      <c r="U41" s="119" t="n">
        <f>Z41+AD41+AH41+AL41+AP41+AT41+AZ41</f>
        <v>0</v>
      </c>
      <c r="V41" s="119" t="n">
        <f>BC41+BE41</f>
        <v>0</v>
      </c>
      <c r="W41" s="60"/>
      <c r="X41" s="60" t="n">
        <f>W41*1696</f>
        <v>0</v>
      </c>
      <c r="Y41" s="120"/>
      <c r="Z41" s="120"/>
      <c r="AA41" s="120"/>
      <c r="AB41" s="120" t="n">
        <f>Z41*995</f>
        <v>0</v>
      </c>
      <c r="AC41" s="121"/>
      <c r="AD41" s="121"/>
      <c r="AE41" s="121" t="n">
        <f>AC41*1696</f>
        <v>0</v>
      </c>
      <c r="AF41" s="121" t="n">
        <f>AD41*995</f>
        <v>0</v>
      </c>
      <c r="AG41" s="120"/>
      <c r="AH41" s="120"/>
      <c r="AI41" s="120"/>
      <c r="AJ41" s="120" t="n">
        <f>AH41*995</f>
        <v>0</v>
      </c>
      <c r="AK41" s="61"/>
      <c r="AL41" s="61"/>
      <c r="AM41" s="61"/>
      <c r="AN41" s="61" t="n">
        <f>AL41*995</f>
        <v>0</v>
      </c>
      <c r="AO41" s="60"/>
      <c r="AP41" s="60"/>
      <c r="AQ41" s="60"/>
      <c r="AR41" s="60" t="n">
        <f>AP41*995</f>
        <v>0</v>
      </c>
      <c r="AS41" s="122"/>
      <c r="AT41" s="122"/>
      <c r="AU41" s="122" t="n">
        <f>AS41*1696</f>
        <v>0</v>
      </c>
      <c r="AV41" s="122" t="n">
        <f>AT41*995</f>
        <v>0</v>
      </c>
      <c r="AW41" s="121"/>
      <c r="AX41" s="121"/>
      <c r="AY41" s="66"/>
      <c r="AZ41" s="66"/>
      <c r="BA41" s="66"/>
      <c r="BB41" s="123" t="n">
        <f>AZ41*995</f>
        <v>0</v>
      </c>
      <c r="BC41" s="67"/>
      <c r="BD41" s="124" t="n">
        <f>BC41*320</f>
        <v>0</v>
      </c>
      <c r="BE41" s="60"/>
      <c r="BF41" s="60" t="n">
        <f>BE41*320</f>
        <v>0</v>
      </c>
      <c r="BG41" s="125" t="n">
        <f>SUM(BH41:BL41)</f>
        <v>0</v>
      </c>
      <c r="BH41" s="61"/>
      <c r="BI41" s="61"/>
      <c r="BJ41" s="61"/>
      <c r="BK41" s="61"/>
      <c r="BL41" s="61"/>
      <c r="BM41" s="116"/>
      <c r="BN41" s="53"/>
      <c r="BO41" s="53"/>
      <c r="BP41" s="53"/>
      <c r="BQ41" s="53"/>
      <c r="BR41" s="54"/>
      <c r="BS41" s="60"/>
      <c r="BT41" s="55"/>
      <c r="BU41" s="66"/>
      <c r="BV41" s="66"/>
      <c r="BW41" s="56"/>
      <c r="BX41" s="56" t="n">
        <f>BV41*995</f>
        <v>0</v>
      </c>
      <c r="BY41" s="67"/>
      <c r="BZ41" s="58" t="n">
        <f>BY41*320</f>
        <v>0</v>
      </c>
      <c r="CA41" s="68"/>
      <c r="CB41" s="59" t="n">
        <f>CA41*320</f>
        <v>0</v>
      </c>
      <c r="CC41" s="53" t="n">
        <f>SUM(CD41:CH41)</f>
        <v>0</v>
      </c>
      <c r="CD41" s="61"/>
      <c r="CE41" s="61"/>
      <c r="CF41" s="61"/>
      <c r="CG41" s="61"/>
      <c r="CH41" s="62"/>
      <c r="CI41" s="47"/>
      <c r="CJ41" s="129"/>
      <c r="CK41" s="129"/>
      <c r="CL41" s="37"/>
    </row>
    <row r="42" s="7" customFormat="1" ht="30" customHeight="1">
      <c r="A42" s="48" t="n">
        <v>38</v>
      </c>
      <c r="B42" s="138"/>
      <c r="C42" s="360" t="s">
        <v>598</v>
      </c>
      <c r="D42" s="358"/>
      <c r="E42" s="361" t="s">
        <v>644</v>
      </c>
      <c r="F42" s="135" t="s">
        <v>645</v>
      </c>
      <c r="G42" s="358"/>
      <c r="H42" s="357" t="s">
        <v>563</v>
      </c>
      <c r="I42" s="136"/>
      <c r="J42" s="53"/>
      <c r="K42" s="53"/>
      <c r="L42" s="53"/>
      <c r="M42" s="53"/>
      <c r="N42" s="119" t="n">
        <f>O42+P42+Q42+R42</f>
        <v>0</v>
      </c>
      <c r="O42" s="119" t="n">
        <f>X42</f>
        <v>0</v>
      </c>
      <c r="P42" s="119" t="n">
        <f>AA42+AE42+AI42+AM42+AQ42+AU42+AX42+BA42</f>
        <v>0</v>
      </c>
      <c r="Q42" s="119" t="n">
        <f>AB42+AF42+AJ42+AN42+AR42+AV42+BB42</f>
        <v>0</v>
      </c>
      <c r="R42" s="119" t="n">
        <f>BD42+BF42</f>
        <v>0</v>
      </c>
      <c r="S42" s="119" t="n">
        <f>W42</f>
        <v>0</v>
      </c>
      <c r="T42" s="119" t="n">
        <f>Y42+AC42+AG42+AK42+AO42+AS42+AW42+AY42</f>
        <v>0</v>
      </c>
      <c r="U42" s="119" t="n">
        <f>Z42+AD42+AH42+AL42+AP42+AT42+AZ42</f>
        <v>0</v>
      </c>
      <c r="V42" s="119" t="n">
        <f>BC42+BE42</f>
        <v>0</v>
      </c>
      <c r="W42" s="60"/>
      <c r="X42" s="60" t="n">
        <f>W42*1696</f>
        <v>0</v>
      </c>
      <c r="Y42" s="120"/>
      <c r="Z42" s="120"/>
      <c r="AA42" s="120"/>
      <c r="AB42" s="120" t="n">
        <f>Z42*995</f>
        <v>0</v>
      </c>
      <c r="AC42" s="121"/>
      <c r="AD42" s="121"/>
      <c r="AE42" s="121" t="n">
        <f>AC42*1696</f>
        <v>0</v>
      </c>
      <c r="AF42" s="121" t="n">
        <f>AD42*995</f>
        <v>0</v>
      </c>
      <c r="AG42" s="120"/>
      <c r="AH42" s="120"/>
      <c r="AI42" s="120"/>
      <c r="AJ42" s="120" t="n">
        <f>AH42*995</f>
        <v>0</v>
      </c>
      <c r="AK42" s="61"/>
      <c r="AL42" s="61"/>
      <c r="AM42" s="61"/>
      <c r="AN42" s="61" t="n">
        <f>AL42*995</f>
        <v>0</v>
      </c>
      <c r="AO42" s="60"/>
      <c r="AP42" s="60"/>
      <c r="AQ42" s="60"/>
      <c r="AR42" s="60" t="n">
        <f>AP42*995</f>
        <v>0</v>
      </c>
      <c r="AS42" s="122"/>
      <c r="AT42" s="122"/>
      <c r="AU42" s="122" t="n">
        <f>AS42*1696</f>
        <v>0</v>
      </c>
      <c r="AV42" s="122" t="n">
        <f>AT42*995</f>
        <v>0</v>
      </c>
      <c r="AW42" s="121"/>
      <c r="AX42" s="121"/>
      <c r="AY42" s="66"/>
      <c r="AZ42" s="66"/>
      <c r="BA42" s="66"/>
      <c r="BB42" s="123" t="n">
        <f>AZ42*995</f>
        <v>0</v>
      </c>
      <c r="BC42" s="67"/>
      <c r="BD42" s="124" t="n">
        <f>BC42*320</f>
        <v>0</v>
      </c>
      <c r="BE42" s="60"/>
      <c r="BF42" s="60" t="n">
        <f>BE42*320</f>
        <v>0</v>
      </c>
      <c r="BG42" s="125" t="n">
        <f>SUM(BH42:BL42)</f>
        <v>0</v>
      </c>
      <c r="BH42" s="61"/>
      <c r="BI42" s="61"/>
      <c r="BJ42" s="61"/>
      <c r="BK42" s="61"/>
      <c r="BL42" s="61"/>
      <c r="BM42" s="116"/>
      <c r="BN42" s="53"/>
      <c r="BO42" s="53"/>
      <c r="BP42" s="53"/>
      <c r="BQ42" s="53"/>
      <c r="BR42" s="54" t="n">
        <f>SUM(BT42,BW42,BX42,BZ42,CB42)</f>
        <v>0</v>
      </c>
      <c r="BS42" s="60"/>
      <c r="BT42" s="55"/>
      <c r="BU42" s="66"/>
      <c r="BV42" s="66"/>
      <c r="BW42" s="56"/>
      <c r="BX42" s="56" t="n">
        <f>BV42*995</f>
        <v>0</v>
      </c>
      <c r="BY42" s="67"/>
      <c r="BZ42" s="58" t="n">
        <f>BY42*320</f>
        <v>0</v>
      </c>
      <c r="CA42" s="68"/>
      <c r="CB42" s="59" t="n">
        <f>CA42*320</f>
        <v>0</v>
      </c>
      <c r="CC42" s="53" t="n">
        <f>SUM(CD42:CH42)</f>
        <v>0</v>
      </c>
      <c r="CD42" s="61"/>
      <c r="CE42" s="61"/>
      <c r="CF42" s="61"/>
      <c r="CG42" s="61"/>
      <c r="CH42" s="62"/>
      <c r="CI42" s="47"/>
      <c r="CJ42" s="129"/>
      <c r="CK42" s="129"/>
      <c r="CL42" s="37"/>
    </row>
    <row r="43" ht="19.5" customHeight="1">
      <c r="A43" s="70"/>
      <c r="B43" s="70"/>
      <c r="C43" s="139"/>
      <c r="D43" s="140"/>
      <c r="E43" s="354"/>
      <c r="F43" s="141"/>
      <c r="G43" s="70"/>
      <c r="H43" s="70"/>
      <c r="BM43" s="70"/>
      <c r="CI43" s="70"/>
      <c r="CJ43" s="70"/>
      <c r="CK43" s="70"/>
      <c r="CL43" s="70"/>
    </row>
    <row r="44" s="6" customFormat="1" ht="213" customHeight="1">
      <c r="A44" s="73" t="s">
        <v>646</v>
      </c>
      <c r="B44" s="73"/>
      <c r="C44" s="73"/>
      <c r="D44" s="142"/>
      <c r="E44" s="142"/>
      <c r="F44" s="130"/>
      <c r="G44" s="73"/>
      <c r="H44" s="73"/>
      <c r="I44" s="72"/>
      <c r="J44" s="72"/>
      <c r="K44" s="72"/>
      <c r="L44" s="72"/>
      <c r="M44" s="72"/>
      <c r="N44" s="72"/>
      <c r="O44" s="9"/>
      <c r="P44" s="72"/>
      <c r="Q44" s="72"/>
      <c r="R44" s="72"/>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A44" s="143"/>
      <c r="BB44" s="143"/>
      <c r="BC44" s="143"/>
      <c r="BD44" s="143"/>
      <c r="BE44" s="143"/>
      <c r="BF44" s="143"/>
      <c r="BG44" s="72"/>
      <c r="BH44" s="72"/>
      <c r="BI44" s="72"/>
      <c r="BJ44" s="72"/>
      <c r="BK44" s="72"/>
      <c r="BL44" s="72"/>
      <c r="BM44" s="72"/>
      <c r="BN44" s="72"/>
      <c r="BO44" s="72"/>
      <c r="BP44" s="72"/>
      <c r="BQ44" s="72"/>
      <c r="BR44" s="143"/>
      <c r="BS44" s="143"/>
      <c r="BT44" s="143"/>
      <c r="BU44" s="143"/>
      <c r="BV44" s="143"/>
      <c r="BW44" s="143"/>
      <c r="BX44" s="143"/>
      <c r="BY44" s="143"/>
      <c r="BZ44" s="143"/>
      <c r="CA44" s="143"/>
      <c r="CB44" s="143"/>
      <c r="CC44" s="72"/>
      <c r="CD44" s="72"/>
      <c r="CE44" s="72"/>
      <c r="CF44" s="72"/>
      <c r="CG44" s="72"/>
      <c r="CH44" s="72"/>
      <c r="CI44" s="72"/>
      <c r="CJ44" s="72"/>
      <c r="CK44" s="72"/>
      <c r="CL44" s="72"/>
    </row>
    <row r="45" ht="15" customHeight="1">
      <c r="C45" s="144"/>
    </row>
    <row r="46" ht="15" customHeight="1">
      <c r="C46" s="144"/>
    </row>
    <row r="47" ht="15" customHeight="1">
      <c r="C47" s="144"/>
    </row>
    <row r="48" ht="15" customHeight="1">
      <c r="C48" s="144"/>
    </row>
    <row r="49" ht="15" customHeight="1">
      <c r="C49" s="144"/>
    </row>
    <row r="50" ht="15" customHeight="1">
      <c r="C50" s="144"/>
    </row>
    <row r="51" ht="15" customHeight="1">
      <c r="C51" s="144"/>
    </row>
    <row r="52" ht="15" customHeight="1">
      <c r="C52" s="144"/>
    </row>
    <row r="53" ht="15" customHeight="1">
      <c r="C53" s="144"/>
    </row>
    <row r="54" ht="15" customHeight="1">
      <c r="C54" s="144"/>
    </row>
    <row r="55" ht="15" customHeight="1">
      <c r="C55" s="144"/>
    </row>
    <row r="56" ht="15" customHeight="1">
      <c r="C56" s="144"/>
    </row>
    <row r="57" ht="15" customHeight="1">
      <c r="C57" s="144"/>
    </row>
    <row r="58" ht="15" customHeight="1">
      <c r="C58" s="144"/>
    </row>
    <row r="59" ht="15" customHeight="1">
      <c r="C59" s="144"/>
    </row>
    <row r="60" ht="15" customHeight="1">
      <c r="C60" s="144"/>
    </row>
    <row r="61" ht="15" customHeight="1">
      <c r="C61" s="144"/>
    </row>
    <row r="62" ht="15" customHeight="1">
      <c r="C62" s="144"/>
    </row>
    <row r="63" ht="15" customHeight="1">
      <c r="C63" s="144"/>
    </row>
    <row r="64" ht="15" customHeight="1">
      <c r="C64" s="144"/>
    </row>
    <row r="65" ht="15" customHeight="1">
      <c r="C65" s="144"/>
    </row>
    <row r="66" ht="15" customHeight="1">
      <c r="C66" s="144"/>
    </row>
    <row r="67" ht="15" customHeight="1">
      <c r="C67" s="144"/>
    </row>
    <row r="68" ht="15" customHeight="1">
      <c r="C68" s="144"/>
    </row>
    <row r="69" ht="15" customHeight="1">
      <c r="C69" s="144"/>
    </row>
    <row r="70" ht="15" customHeight="1">
      <c r="C70" s="144"/>
    </row>
    <row r="71" ht="15" customHeight="1">
      <c r="C71" s="144"/>
    </row>
    <row r="72" ht="15" customHeight="1">
      <c r="C72" s="144"/>
    </row>
    <row r="73" ht="15" customHeight="1">
      <c r="C73" s="144"/>
    </row>
    <row r="74" ht="15" customHeight="1">
      <c r="C74" s="144"/>
    </row>
    <row r="75" ht="15" customHeight="1">
      <c r="C75" s="144"/>
    </row>
    <row r="76" ht="15" customHeight="1">
      <c r="C76" s="144"/>
    </row>
    <row r="77" ht="15" customHeight="1">
      <c r="C77" s="144"/>
    </row>
    <row r="78" ht="15" customHeight="1">
      <c r="C78" s="144"/>
    </row>
    <row r="79" ht="15" customHeight="1">
      <c r="C79" s="144"/>
    </row>
    <row r="80" ht="15" customHeight="1">
      <c r="C80" s="144"/>
    </row>
    <row r="81" ht="15" customHeight="1">
      <c r="C81" s="144"/>
    </row>
    <row r="82" ht="15" customHeight="1">
      <c r="C82" s="144"/>
    </row>
    <row r="83" ht="15" customHeight="1">
      <c r="C83" s="144"/>
    </row>
    <row r="84" ht="15" customHeight="1">
      <c r="C84" s="144"/>
    </row>
    <row r="85" ht="15" customHeight="1">
      <c r="C85" s="144"/>
    </row>
    <row r="86" ht="15" customHeight="1">
      <c r="C86" s="144"/>
    </row>
    <row r="87" ht="15" customHeight="1">
      <c r="C87" s="144"/>
    </row>
    <row r="88" ht="15" customHeight="1">
      <c r="C88" s="144"/>
    </row>
    <row r="89" ht="15" customHeight="1">
      <c r="C89" s="144"/>
    </row>
    <row r="90" ht="15" customHeight="1">
      <c r="C90" s="144"/>
    </row>
    <row r="91" ht="15" customHeight="1">
      <c r="C91" s="144"/>
    </row>
    <row r="92" ht="15" customHeight="1">
      <c r="C92" s="144"/>
    </row>
    <row r="93" ht="15" customHeight="1">
      <c r="C93" s="144"/>
    </row>
    <row r="94" ht="15" customHeight="1">
      <c r="C94" s="144"/>
    </row>
    <row r="95" ht="15" customHeight="1">
      <c r="C95" s="144"/>
    </row>
    <row r="96" ht="15" customHeight="1">
      <c r="C96" s="144"/>
    </row>
    <row r="97" ht="15" customHeight="1">
      <c r="C97" s="144"/>
    </row>
    <row r="98" ht="15" customHeight="1">
      <c r="C98" s="144"/>
    </row>
    <row r="99" ht="15" customHeight="1">
      <c r="C99" s="144"/>
    </row>
    <row r="100" ht="15" customHeight="1">
      <c r="C100" s="144"/>
    </row>
    <row r="101" ht="15" customHeight="1">
      <c r="C101" s="144"/>
    </row>
    <row r="102" ht="15" customHeight="1">
      <c r="C102" s="144"/>
    </row>
    <row r="103" ht="15" customHeight="1">
      <c r="C103" s="144"/>
    </row>
    <row r="104" ht="15" customHeight="1">
      <c r="C104" s="144"/>
    </row>
    <row r="105" ht="15" customHeight="1">
      <c r="C105" s="144"/>
    </row>
    <row r="106" ht="15" customHeight="1">
      <c r="C106" s="144"/>
    </row>
    <row r="107" ht="15" customHeight="1">
      <c r="C107" s="144"/>
    </row>
    <row r="108" ht="15" customHeight="1">
      <c r="C108" s="144"/>
    </row>
    <row r="109" ht="15" customHeight="1">
      <c r="C109" s="144"/>
    </row>
    <row r="110" ht="15" customHeight="1">
      <c r="C110" s="144"/>
    </row>
    <row r="111" ht="15" customHeight="1">
      <c r="C111" s="144"/>
    </row>
    <row r="112" ht="15" customHeight="1">
      <c r="C112" s="144"/>
    </row>
    <row r="113" ht="15" customHeight="1">
      <c r="C113" s="144"/>
    </row>
    <row r="114" ht="15" customHeight="1">
      <c r="C114" s="144"/>
    </row>
    <row r="115" ht="15" customHeight="1">
      <c r="C115" s="144"/>
    </row>
    <row r="116" ht="15" customHeight="1">
      <c r="C116" s="144"/>
    </row>
    <row r="117" ht="15" customHeight="1">
      <c r="C117" s="144"/>
    </row>
    <row r="118" ht="15" customHeight="1">
      <c r="C118" s="144"/>
    </row>
    <row r="119" ht="15" customHeight="1">
      <c r="C119" s="144"/>
    </row>
    <row r="120" ht="15" customHeight="1">
      <c r="C120" s="144"/>
    </row>
    <row r="121" ht="15" customHeight="1">
      <c r="C121" s="144"/>
    </row>
    <row r="122" ht="15" customHeight="1">
      <c r="C122" s="144"/>
    </row>
    <row r="123" ht="15" customHeight="1">
      <c r="C123" s="144"/>
    </row>
    <row r="124" ht="15" customHeight="1">
      <c r="C124" s="144"/>
    </row>
    <row r="125" ht="15" customHeight="1">
      <c r="C125" s="144"/>
    </row>
    <row r="126" ht="15" customHeight="1">
      <c r="C126" s="144"/>
    </row>
    <row r="127" ht="15" customHeight="1">
      <c r="C127" s="144"/>
    </row>
    <row r="128" ht="15" customHeight="1">
      <c r="C128" s="144"/>
    </row>
    <row r="129" ht="15" customHeight="1">
      <c r="C129" s="144"/>
    </row>
    <row r="130" ht="15" customHeight="1">
      <c r="C130" s="144"/>
    </row>
    <row r="131" ht="15" customHeight="1">
      <c r="C131" s="144"/>
    </row>
    <row r="132" ht="15" customHeight="1">
      <c r="C132" s="144"/>
    </row>
    <row r="133" ht="15" customHeight="1">
      <c r="C133" s="144"/>
    </row>
    <row r="134" ht="15" customHeight="1">
      <c r="C134" s="144"/>
    </row>
    <row r="135" ht="15" customHeight="1">
      <c r="C135" s="144"/>
    </row>
    <row r="136" ht="15" customHeight="1">
      <c r="C136" s="144"/>
    </row>
    <row r="137" ht="15" customHeight="1">
      <c r="C137" s="144"/>
    </row>
    <row r="138" ht="15" customHeight="1">
      <c r="C138" s="144"/>
    </row>
    <row r="139" ht="15" customHeight="1">
      <c r="C139" s="144"/>
    </row>
    <row r="140" ht="15" customHeight="1">
      <c r="C140" s="144"/>
    </row>
    <row r="141" ht="15" customHeight="1">
      <c r="C141" s="144"/>
    </row>
    <row r="142" ht="15" customHeight="1">
      <c r="C142" s="144"/>
    </row>
    <row r="143" ht="15" customHeight="1">
      <c r="C143" s="144"/>
    </row>
    <row r="144" ht="15" customHeight="1">
      <c r="C144" s="144"/>
    </row>
    <row r="145" ht="15" customHeight="1">
      <c r="C145" s="144"/>
    </row>
    <row r="146" ht="15" customHeight="1">
      <c r="C146" s="144"/>
    </row>
    <row r="147" ht="15" customHeight="1">
      <c r="C147" s="144"/>
    </row>
    <row r="148" ht="15" customHeight="1">
      <c r="C148" s="144"/>
    </row>
    <row r="149" ht="15" customHeight="1">
      <c r="C149" s="144"/>
    </row>
    <row r="150" ht="15" customHeight="1">
      <c r="C150" s="144"/>
    </row>
    <row r="151" ht="15" customHeight="1">
      <c r="C151" s="144"/>
    </row>
    <row r="152" ht="15" customHeight="1">
      <c r="C152" s="144"/>
    </row>
    <row r="153" ht="15" customHeight="1">
      <c r="C153" s="144"/>
    </row>
    <row r="154" ht="15" customHeight="1">
      <c r="C154" s="144"/>
    </row>
    <row r="155" ht="15" customHeight="1">
      <c r="C155" s="144"/>
    </row>
    <row r="156" ht="15" customHeight="1">
      <c r="C156" s="144"/>
    </row>
    <row r="157" ht="15" customHeight="1">
      <c r="C157" s="144"/>
    </row>
    <row r="158" ht="15" customHeight="1">
      <c r="C158" s="144"/>
    </row>
    <row r="159" ht="15" customHeight="1">
      <c r="C159" s="144"/>
    </row>
    <row r="160" ht="15" customHeight="1">
      <c r="C160" s="144"/>
    </row>
    <row r="161" ht="15" customHeight="1">
      <c r="C161" s="144"/>
    </row>
    <row r="162" ht="15" customHeight="1">
      <c r="C162" s="144"/>
    </row>
    <row r="163" ht="15" customHeight="1">
      <c r="C163" s="144"/>
    </row>
    <row r="164" ht="15" customHeight="1">
      <c r="C164" s="144"/>
    </row>
    <row r="165" ht="15" customHeight="1">
      <c r="C165" s="144"/>
    </row>
    <row r="166" ht="15" customHeight="1">
      <c r="C166" s="144"/>
    </row>
    <row r="167" ht="15" customHeight="1">
      <c r="C167" s="144"/>
    </row>
    <row r="168" ht="15" customHeight="1">
      <c r="C168" s="144"/>
    </row>
    <row r="169" ht="15" customHeight="1">
      <c r="C169" s="144"/>
    </row>
    <row r="170" ht="15" customHeight="1">
      <c r="C170" s="144"/>
    </row>
    <row r="171" ht="15" customHeight="1">
      <c r="C171" s="144"/>
    </row>
    <row r="172" ht="15" customHeight="1">
      <c r="C172" s="144"/>
    </row>
    <row r="173" ht="15" customHeight="1">
      <c r="C173" s="144"/>
    </row>
    <row r="174" ht="15" customHeight="1">
      <c r="C174" s="144"/>
    </row>
    <row r="175" ht="15" customHeight="1">
      <c r="C175" s="144"/>
    </row>
    <row r="176" ht="15" customHeight="1">
      <c r="C176" s="144"/>
    </row>
    <row r="177" ht="15" customHeight="1">
      <c r="C177" s="144"/>
    </row>
    <row r="178" ht="15" customHeight="1">
      <c r="C178" s="144"/>
    </row>
    <row r="179" ht="15" customHeight="1">
      <c r="C179" s="144"/>
    </row>
    <row r="180" ht="15" customHeight="1">
      <c r="C180" s="144"/>
    </row>
    <row r="181" ht="15" customHeight="1">
      <c r="C181" s="144"/>
    </row>
    <row r="182" ht="15" customHeight="1">
      <c r="C182" s="144"/>
    </row>
    <row r="183" ht="15" customHeight="1">
      <c r="C183" s="144"/>
    </row>
    <row r="184" ht="15" customHeight="1">
      <c r="C184" s="144"/>
    </row>
    <row r="185" ht="15" customHeight="1">
      <c r="C185" s="144"/>
    </row>
    <row r="186" ht="15" customHeight="1">
      <c r="C186" s="144"/>
    </row>
    <row r="187" ht="15" customHeight="1">
      <c r="C187" s="144"/>
    </row>
    <row r="188" ht="15" customHeight="1">
      <c r="C188" s="144"/>
    </row>
    <row r="189" ht="15" customHeight="1">
      <c r="C189" s="144"/>
    </row>
    <row r="190" ht="15" customHeight="1">
      <c r="C190" s="144"/>
    </row>
    <row r="191" ht="15" customHeight="1">
      <c r="C191" s="144"/>
    </row>
    <row r="192" ht="15" customHeight="1">
      <c r="C192" s="144"/>
    </row>
    <row r="193" ht="15" customHeight="1">
      <c r="C193" s="144"/>
    </row>
    <row r="194" ht="15" customHeight="1">
      <c r="C194" s="144"/>
    </row>
    <row r="195" ht="15" customHeight="1">
      <c r="C195" s="144"/>
    </row>
    <row r="196" ht="15" customHeight="1">
      <c r="C196" s="144"/>
    </row>
    <row r="197" ht="15" customHeight="1">
      <c r="C197" s="144"/>
    </row>
    <row r="198" ht="15" customHeight="1">
      <c r="C198" s="144"/>
    </row>
    <row r="199" ht="15" customHeight="1">
      <c r="C199" s="144"/>
    </row>
    <row r="200" ht="15" customHeight="1">
      <c r="C200" s="144"/>
    </row>
  </sheetData>
  <mergeCells count="40">
    <mergeCell ref="BC3:BD3"/>
    <mergeCell ref="CC3:CH3"/>
    <mergeCell ref="D35:D42"/>
    <mergeCell ref="A2:H2"/>
    <mergeCell ref="D9:D21"/>
    <mergeCell ref="D32:D34"/>
    <mergeCell ref="BN3:BQ3"/>
    <mergeCell ref="AY3:BB3"/>
    <mergeCell ref="G9:G21"/>
    <mergeCell ref="A1:H1"/>
    <mergeCell ref="BY3:BZ3"/>
    <mergeCell ref="AW3:AX3"/>
    <mergeCell ref="CJ3:CL3"/>
    <mergeCell ref="BM3:BM4"/>
    <mergeCell ref="BS3:BT3"/>
    <mergeCell ref="AC3:AF3"/>
    <mergeCell ref="D27:D31"/>
    <mergeCell ref="BU3:BX3"/>
    <mergeCell ref="D22:D26"/>
    <mergeCell ref="G22:G42"/>
    <mergeCell ref="J3:M3"/>
    <mergeCell ref="B5:B40"/>
    <mergeCell ref="AO3:AR3"/>
    <mergeCell ref="B3:H3"/>
    <mergeCell ref="W3:X3"/>
    <mergeCell ref="BE3:BF3"/>
    <mergeCell ref="AS3:AV3"/>
    <mergeCell ref="CL5:CL42"/>
    <mergeCell ref="BG3:BK3"/>
    <mergeCell ref="E5:E7"/>
    <mergeCell ref="A3:A4"/>
    <mergeCell ref="AK3:AN3"/>
    <mergeCell ref="CI3:CI4"/>
    <mergeCell ref="N3:V3"/>
    <mergeCell ref="Y3:AB3"/>
    <mergeCell ref="D5:D8"/>
    <mergeCell ref="CI5:CI42"/>
    <mergeCell ref="CA3:CB3"/>
    <mergeCell ref="AG3:AJ3"/>
    <mergeCell ref="G5:G8"/>
  </mergeCells>
  <phoneticPr fontId="1" type="noConversion"/>
  <dataValidations count="2">
    <dataValidation type="list" allowBlank="1" showInputMessage="1" showErrorMessage="1" prompt="㧐穞_x0002_" sqref="C5:C42">
      <formula1>"统一地址运营,数字孪生基座,数智网格化系统,地址资源运营平台,智域地图平台,空间聚合服务,警情时空分析,110实时警情定位服务,警务社区可视化平台,数据工程,数据资产,数据服务,数据运营,项目定制,项目分包"</formula1>
    </dataValidation>
    <dataValidation type="list" allowBlank="1" showInputMessage="1" showErrorMessage="1" prompt="㧐禵_x0002_" sqref="C2:C3 C43 C45:C228">
      <formula1>"统一地址运营,数字孪生基座,数智网格化系统,地址资源运营平台,智域地图平台,空间聚合服务,警情时空分析,110实时警情定位服务,警务社区可视化平台,数据工程,数据资产,数据服务,数据运营,项目定制,项目分包"</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6" activePane="bottomRight" state="frozen" ySplit="5"/>
    </sheetView>
  </sheetViews>
  <sheetFormatPr baseColWidth="10" defaultColWidth="8.8330078125" defaultRowHeight="15" customHeight="1"/>
  <cols>
    <col min="1" max="1" width="4.6640625" customWidth="1" style="7"/>
    <col min="2" max="2" width="6.9990234375" customWidth="1" style="7"/>
    <col min="3" max="3" width="12.83203125" customWidth="1" style="7"/>
    <col min="4" max="4" width="13.5" customWidth="1" style="7"/>
    <col min="5" max="5" width="8.4990234375" customWidth="1" style="7"/>
    <col min="6" max="6" width="6.9990234375" customWidth="1" style="7"/>
    <col min="7" max="7" width="8.4990234375" customWidth="1" style="7"/>
    <col min="8" max="8" width="6.9990234375" customWidth="1" style="7"/>
    <col min="9" max="9" width="13.998046875" customWidth="1" style="8"/>
    <col min="10" max="10" width="8.666015625" customWidth="1" style="8"/>
    <col min="11" max="11" width="9.9990234375" customWidth="1" style="8"/>
    <col min="12" max="12" width="11.4990234375" customWidth="1" style="8"/>
    <col min="13" max="13" width="18.6650390625" customWidth="1" style="9"/>
    <col min="14" max="19" width="8.1650390625" customWidth="1" style="9"/>
    <col min="20" max="23" width="8.4990234375" customWidth="1" style="9"/>
    <col min="24" max="24" width="13.6640625" customWidth="1" style="9"/>
    <col min="25" max="25" width="17.8330078125" customWidth="1" style="9"/>
    <col min="26" max="26" width="15" customWidth="1" style="9"/>
    <col min="27" max="27" width="15.6650390625" customWidth="1" style="9"/>
    <col min="28" max="29" width="15" customWidth="1" style="9"/>
    <col min="30" max="30" width="31.998046875" customWidth="1" style="9"/>
    <col min="31" max="40" width="8.8330078125" style="6"/>
  </cols>
  <sheetData>
    <row r="1" ht="38.25" customHeight="1">
      <c r="A1" s="10" t="s">
        <v>406</v>
      </c>
      <c r="B1" s="10"/>
      <c r="C1" s="10"/>
      <c r="D1" s="10"/>
      <c r="E1" s="10"/>
      <c r="F1" s="10"/>
      <c r="G1" s="10"/>
      <c r="H1" s="10"/>
      <c r="I1" s="10"/>
      <c r="J1" s="10"/>
      <c r="K1" s="10"/>
      <c r="L1" s="10"/>
    </row>
    <row r="2" s="348" customFormat="1" ht="38.25" customHeight="1">
      <c r="A2" s="11" t="s">
        <v>647</v>
      </c>
      <c r="B2" s="12"/>
      <c r="C2" s="13"/>
      <c r="D2" s="14"/>
      <c r="E2" s="15"/>
      <c r="F2" s="11" t="s">
        <v>648</v>
      </c>
      <c r="G2" s="16"/>
      <c r="H2" s="17"/>
      <c r="I2" s="18"/>
      <c r="J2" s="15"/>
      <c r="K2" s="15"/>
      <c r="L2" s="15"/>
      <c r="M2" s="15"/>
      <c r="N2" s="15"/>
      <c r="O2" s="15"/>
      <c r="P2" s="15"/>
      <c r="Q2" s="15"/>
      <c r="R2" s="15"/>
      <c r="S2" s="15"/>
      <c r="T2" s="15"/>
      <c r="U2" s="15"/>
      <c r="V2" s="15"/>
      <c r="W2" s="15"/>
      <c r="X2" s="15"/>
      <c r="Y2" s="15"/>
      <c r="Z2" s="15"/>
      <c r="AA2" s="15"/>
      <c r="AB2" s="15"/>
      <c r="AC2" s="15"/>
      <c r="AD2" s="15"/>
    </row>
    <row r="3" ht="29.25" customHeight="1">
      <c r="A3" s="19" t="s">
        <v>434</v>
      </c>
      <c r="B3" s="20"/>
      <c r="C3" s="20"/>
      <c r="D3" s="20"/>
      <c r="E3" s="21"/>
      <c r="F3" s="22"/>
      <c r="G3" s="20"/>
      <c r="H3" s="20"/>
      <c r="I3" s="23" t="n">
        <f>SUM(I6:I15)</f>
        <v>0</v>
      </c>
      <c r="J3" s="24" t="n">
        <f>SUM(J6:J15)</f>
        <v>0</v>
      </c>
      <c r="K3" s="24" t="n">
        <f>SUM(K6:K15)</f>
        <v>0</v>
      </c>
      <c r="L3" s="24" t="n">
        <f>SUM(L6:L15)</f>
        <v>0</v>
      </c>
      <c r="M3" s="25" t="n">
        <f>SUM(M6:M15)</f>
        <v>0</v>
      </c>
      <c r="N3" s="26" t="n">
        <f>SUM(N6:N15)</f>
        <v>0</v>
      </c>
      <c r="O3" s="26" t="n">
        <f>SUM(O6:O15)</f>
        <v>0</v>
      </c>
      <c r="P3" s="26" t="n">
        <f>SUM(P6:P15)</f>
        <v>0</v>
      </c>
      <c r="Q3" s="26" t="n">
        <f>SUM(Q6:Q15)</f>
        <v>0</v>
      </c>
      <c r="R3" s="26" t="n">
        <f>SUM(R6:R15)</f>
        <v>0</v>
      </c>
      <c r="S3" s="26" t="n">
        <f>SUM(S6:S15)</f>
        <v>0</v>
      </c>
      <c r="T3" s="26" t="n">
        <f>SUM(T6:T15)</f>
        <v>0</v>
      </c>
      <c r="U3" s="26" t="n">
        <f>SUM(U6:U15)</f>
        <v>0</v>
      </c>
      <c r="V3" s="26"/>
      <c r="W3" s="26"/>
      <c r="X3" s="27" t="n">
        <f>SUM(X6:X15)</f>
        <v>0</v>
      </c>
      <c r="Y3" s="26" t="n">
        <f>SUM(Y6:Y15)</f>
        <v>0</v>
      </c>
      <c r="Z3" s="26" t="n">
        <f>SUM(Z6:Z15)</f>
        <v>0</v>
      </c>
      <c r="AA3" s="26" t="n">
        <f>SUM(AA6:AA15)</f>
        <v>0</v>
      </c>
      <c r="AB3" s="26" t="n">
        <f>SUM(AB6:AB15)</f>
        <v>0</v>
      </c>
      <c r="AC3" s="26" t="n">
        <f>SUM(AC6:AC15)</f>
        <v>0</v>
      </c>
      <c r="AD3" s="28" t="s">
        <v>164</v>
      </c>
    </row>
    <row r="4" ht="30" customHeight="1">
      <c r="A4" s="29" t="s">
        <v>64</v>
      </c>
      <c r="B4" s="30" t="s">
        <v>457</v>
      </c>
      <c r="C4" s="31"/>
      <c r="D4" s="31"/>
      <c r="E4" s="31"/>
      <c r="F4" s="31"/>
      <c r="G4" s="31"/>
      <c r="H4" s="31"/>
      <c r="I4" s="32" t="s">
        <v>474</v>
      </c>
      <c r="J4" s="33"/>
      <c r="K4" s="33"/>
      <c r="L4" s="34"/>
      <c r="M4" s="35" t="s">
        <v>475</v>
      </c>
      <c r="N4" s="36" t="s">
        <v>476</v>
      </c>
      <c r="O4" s="37"/>
      <c r="P4" s="36" t="s">
        <v>477</v>
      </c>
      <c r="Q4" s="37"/>
      <c r="R4" s="37"/>
      <c r="S4" s="37"/>
      <c r="T4" s="36" t="s">
        <v>478</v>
      </c>
      <c r="U4" s="37"/>
      <c r="V4" s="36" t="s">
        <v>479</v>
      </c>
      <c r="W4" s="37"/>
      <c r="X4" s="38" t="s">
        <v>480</v>
      </c>
      <c r="Y4" s="37"/>
      <c r="Z4" s="37"/>
      <c r="AA4" s="37"/>
      <c r="AB4" s="37"/>
      <c r="AC4" s="37"/>
      <c r="AD4" s="39" t="s">
        <v>481</v>
      </c>
    </row>
    <row r="5" s="5" customFormat="1" ht="37.5" customHeight="1">
      <c r="A5" s="37"/>
      <c r="B5" s="40" t="s">
        <v>483</v>
      </c>
      <c r="C5" s="509" t="s">
        <v>649</v>
      </c>
      <c r="D5" s="42" t="s">
        <v>485</v>
      </c>
      <c r="E5" s="42" t="s">
        <v>486</v>
      </c>
      <c r="F5" s="41" t="s">
        <v>487</v>
      </c>
      <c r="G5" s="41" t="s">
        <v>488</v>
      </c>
      <c r="H5" s="42" t="s">
        <v>489</v>
      </c>
      <c r="I5" s="43" t="s">
        <v>491</v>
      </c>
      <c r="J5" s="43" t="s">
        <v>492</v>
      </c>
      <c r="K5" s="43" t="s">
        <v>493</v>
      </c>
      <c r="L5" s="43" t="s">
        <v>494</v>
      </c>
      <c r="M5" s="43" t="s">
        <v>544</v>
      </c>
      <c r="N5" s="44" t="s">
        <v>504</v>
      </c>
      <c r="O5" s="44" t="s">
        <v>505</v>
      </c>
      <c r="P5" s="44" t="s">
        <v>545</v>
      </c>
      <c r="Q5" s="44" t="s">
        <v>546</v>
      </c>
      <c r="R5" s="44" t="s">
        <v>547</v>
      </c>
      <c r="S5" s="44" t="s">
        <v>548</v>
      </c>
      <c r="T5" s="44" t="s">
        <v>536</v>
      </c>
      <c r="U5" s="44" t="s">
        <v>537</v>
      </c>
      <c r="V5" s="44" t="s">
        <v>536</v>
      </c>
      <c r="W5" s="44" t="s">
        <v>537</v>
      </c>
      <c r="X5" s="45" t="s">
        <v>549</v>
      </c>
      <c r="Y5" s="46" t="s">
        <v>550</v>
      </c>
      <c r="Z5" s="46" t="s">
        <v>551</v>
      </c>
      <c r="AA5" s="46" t="s">
        <v>552</v>
      </c>
      <c r="AB5" s="46" t="s">
        <v>553</v>
      </c>
      <c r="AC5" s="46" t="s">
        <v>554</v>
      </c>
      <c r="AD5" s="47"/>
    </row>
    <row r="6" ht="24.75" customHeight="1">
      <c r="A6" s="48" t="n">
        <v>1</v>
      </c>
      <c r="B6" s="49"/>
      <c r="C6" s="50" t="s">
        <v>424</v>
      </c>
      <c r="D6" s="51"/>
      <c r="E6" s="51"/>
      <c r="F6" s="52"/>
      <c r="G6" s="51"/>
      <c r="H6" s="51"/>
      <c r="I6" s="53"/>
      <c r="J6" s="53"/>
      <c r="K6" s="53"/>
      <c r="L6" s="53"/>
      <c r="M6" s="54" t="n">
        <f>SUM(O6,R6,S6,U6)</f>
        <v>0</v>
      </c>
      <c r="N6" s="55"/>
      <c r="O6" s="55" t="n">
        <f>N6*1750</f>
        <v>0</v>
      </c>
      <c r="P6" s="56"/>
      <c r="Q6" s="56"/>
      <c r="R6" s="56" t="n">
        <f>P6*1750</f>
        <v>0</v>
      </c>
      <c r="S6" s="56" t="n">
        <f>Q6*890</f>
        <v>0</v>
      </c>
      <c r="T6" s="57"/>
      <c r="U6" s="58" t="n">
        <f>T6*320</f>
        <v>0</v>
      </c>
      <c r="V6" s="59"/>
      <c r="W6" s="59" t="n">
        <f>V6*320</f>
        <v>0</v>
      </c>
      <c r="X6" s="60" t="n">
        <f>SUM(Y6:AC6)</f>
        <v>0</v>
      </c>
      <c r="Y6" s="61"/>
      <c r="Z6" s="61"/>
      <c r="AA6" s="61"/>
      <c r="AB6" s="61"/>
      <c r="AC6" s="62"/>
      <c r="AD6" s="63" t="s">
        <v>564</v>
      </c>
    </row>
    <row r="7" ht="24.75" customHeight="1">
      <c r="A7" s="48" t="n">
        <v>2</v>
      </c>
      <c r="B7" s="64"/>
      <c r="C7" s="50" t="s">
        <v>424</v>
      </c>
      <c r="D7" s="65"/>
      <c r="E7" s="51"/>
      <c r="F7" s="52"/>
      <c r="G7" s="51"/>
      <c r="H7" s="51"/>
      <c r="I7" s="53"/>
      <c r="J7" s="53"/>
      <c r="K7" s="53"/>
      <c r="L7" s="53"/>
      <c r="M7" s="53" t="n">
        <f>SUM(O7,R7,S7,U7)</f>
        <v>0</v>
      </c>
      <c r="N7" s="60"/>
      <c r="O7" s="55" t="n">
        <f>N7*1750</f>
        <v>0</v>
      </c>
      <c r="P7" s="66"/>
      <c r="Q7" s="66"/>
      <c r="R7" s="56" t="n">
        <f>P7*1750</f>
        <v>0</v>
      </c>
      <c r="S7" s="56" t="n">
        <f>Q7*890</f>
        <v>0</v>
      </c>
      <c r="T7" s="67"/>
      <c r="U7" s="58" t="n">
        <f>T7*320</f>
        <v>0</v>
      </c>
      <c r="V7" s="68"/>
      <c r="W7" s="59" t="n">
        <f>V7*320</f>
        <v>0</v>
      </c>
      <c r="X7" s="60" t="n">
        <f>SUM(Y7:AC7)</f>
        <v>0</v>
      </c>
      <c r="Y7" s="61"/>
      <c r="Z7" s="61"/>
      <c r="AA7" s="61"/>
      <c r="AB7" s="61"/>
      <c r="AC7" s="62"/>
      <c r="AD7" s="47"/>
    </row>
    <row r="8" ht="24.75" customHeight="1">
      <c r="A8" s="48" t="n">
        <v>3</v>
      </c>
      <c r="B8" s="64"/>
      <c r="C8" s="50" t="s">
        <v>424</v>
      </c>
      <c r="D8" s="65"/>
      <c r="E8" s="51"/>
      <c r="F8" s="52"/>
      <c r="G8" s="51"/>
      <c r="H8" s="51"/>
      <c r="I8" s="53"/>
      <c r="J8" s="53"/>
      <c r="K8" s="53"/>
      <c r="L8" s="53"/>
      <c r="M8" s="53" t="n">
        <f>SUM(O8,R8,S8,U8)</f>
        <v>0</v>
      </c>
      <c r="N8" s="60"/>
      <c r="O8" s="55" t="n">
        <f>N8*1750</f>
        <v>0</v>
      </c>
      <c r="P8" s="66"/>
      <c r="Q8" s="66"/>
      <c r="R8" s="56" t="n">
        <f>P8*1750</f>
        <v>0</v>
      </c>
      <c r="S8" s="56" t="n">
        <f>Q8*890</f>
        <v>0</v>
      </c>
      <c r="T8" s="67"/>
      <c r="U8" s="58" t="n">
        <f>T8*320</f>
        <v>0</v>
      </c>
      <c r="V8" s="68"/>
      <c r="W8" s="59" t="n">
        <f>V8*320</f>
        <v>0</v>
      </c>
      <c r="X8" s="60" t="n">
        <f>SUM(Y8:AC8)</f>
        <v>0</v>
      </c>
      <c r="Y8" s="61"/>
      <c r="Z8" s="61"/>
      <c r="AA8" s="61"/>
      <c r="AB8" s="61"/>
      <c r="AC8" s="62"/>
      <c r="AD8" s="47"/>
    </row>
    <row r="9" ht="24.75" customHeight="1">
      <c r="A9" s="48" t="n">
        <v>4</v>
      </c>
      <c r="B9" s="69"/>
      <c r="C9" s="50" t="s">
        <v>424</v>
      </c>
      <c r="D9" s="69"/>
      <c r="E9" s="69"/>
      <c r="F9" s="69"/>
      <c r="G9" s="69"/>
      <c r="H9" s="69"/>
      <c r="I9" s="53"/>
      <c r="J9" s="53"/>
      <c r="K9" s="53"/>
      <c r="L9" s="53"/>
      <c r="M9" s="53" t="n">
        <f>SUM(O9,R9,S9,U9)</f>
        <v>0</v>
      </c>
      <c r="N9" s="60"/>
      <c r="O9" s="55" t="n">
        <f>N9*1750</f>
        <v>0</v>
      </c>
      <c r="P9" s="66"/>
      <c r="Q9" s="66"/>
      <c r="R9" s="56" t="n">
        <f>P9*1750</f>
        <v>0</v>
      </c>
      <c r="S9" s="56" t="n">
        <f>Q9*890</f>
        <v>0</v>
      </c>
      <c r="T9" s="67"/>
      <c r="U9" s="58" t="n">
        <f>T9*320</f>
        <v>0</v>
      </c>
      <c r="V9" s="68"/>
      <c r="W9" s="59" t="n">
        <f>V9*320</f>
        <v>0</v>
      </c>
      <c r="X9" s="60" t="n">
        <f>SUM(Y9:AC9)</f>
        <v>0</v>
      </c>
      <c r="Y9" s="61"/>
      <c r="Z9" s="61"/>
      <c r="AA9" s="61"/>
      <c r="AB9" s="61"/>
      <c r="AC9" s="62"/>
      <c r="AD9" s="47"/>
    </row>
    <row r="10" ht="24.75" customHeight="1">
      <c r="A10" s="48" t="n">
        <v>5</v>
      </c>
      <c r="B10" s="69"/>
      <c r="C10" s="50" t="s">
        <v>424</v>
      </c>
      <c r="D10" s="69"/>
      <c r="E10" s="69"/>
      <c r="F10" s="69"/>
      <c r="G10" s="69"/>
      <c r="H10" s="69"/>
      <c r="I10" s="53"/>
      <c r="J10" s="53"/>
      <c r="K10" s="53"/>
      <c r="L10" s="53"/>
      <c r="M10" s="53" t="n">
        <f>SUM(O10,R10,S10,U10)</f>
        <v>0</v>
      </c>
      <c r="N10" s="60"/>
      <c r="O10" s="55" t="n">
        <f>N10*1750</f>
        <v>0</v>
      </c>
      <c r="P10" s="66"/>
      <c r="Q10" s="66"/>
      <c r="R10" s="56" t="n">
        <f>P10*1750</f>
        <v>0</v>
      </c>
      <c r="S10" s="56" t="n">
        <f>Q10*890</f>
        <v>0</v>
      </c>
      <c r="T10" s="67"/>
      <c r="U10" s="58" t="n">
        <f>T10*320</f>
        <v>0</v>
      </c>
      <c r="V10" s="68"/>
      <c r="W10" s="59" t="n">
        <f>V10*320</f>
        <v>0</v>
      </c>
      <c r="X10" s="60" t="n">
        <f>SUM(Y10:AC10)</f>
        <v>0</v>
      </c>
      <c r="Y10" s="61"/>
      <c r="Z10" s="61"/>
      <c r="AA10" s="61"/>
      <c r="AB10" s="61"/>
      <c r="AC10" s="62"/>
      <c r="AD10" s="63"/>
    </row>
    <row r="11" ht="24.75" customHeight="1">
      <c r="A11" s="48" t="n">
        <v>6</v>
      </c>
      <c r="B11" s="69"/>
      <c r="C11" s="50" t="s">
        <v>424</v>
      </c>
      <c r="D11" s="69"/>
      <c r="E11" s="69"/>
      <c r="F11" s="69"/>
      <c r="G11" s="69"/>
      <c r="H11" s="69"/>
      <c r="I11" s="53"/>
      <c r="J11" s="53"/>
      <c r="K11" s="53"/>
      <c r="L11" s="53"/>
      <c r="M11" s="53" t="n">
        <f>SUM(O11,R11,S11,U11)</f>
        <v>0</v>
      </c>
      <c r="N11" s="60"/>
      <c r="O11" s="55" t="n">
        <f>N11*1750</f>
        <v>0</v>
      </c>
      <c r="P11" s="66"/>
      <c r="Q11" s="66"/>
      <c r="R11" s="56" t="n">
        <f>P11*1750</f>
        <v>0</v>
      </c>
      <c r="S11" s="56" t="n">
        <f>Q11*890</f>
        <v>0</v>
      </c>
      <c r="T11" s="67"/>
      <c r="U11" s="58" t="n">
        <f>T11*320</f>
        <v>0</v>
      </c>
      <c r="V11" s="68"/>
      <c r="W11" s="59" t="n">
        <f>V11*320</f>
        <v>0</v>
      </c>
      <c r="X11" s="60" t="n">
        <f>SUM(Y11:AC11)</f>
        <v>0</v>
      </c>
      <c r="Y11" s="61"/>
      <c r="Z11" s="61"/>
      <c r="AA11" s="61"/>
      <c r="AB11" s="61"/>
      <c r="AC11" s="62"/>
      <c r="AD11" s="63"/>
    </row>
    <row r="12" ht="24.75" customHeight="1">
      <c r="A12" s="48" t="n">
        <v>7</v>
      </c>
      <c r="B12" s="69"/>
      <c r="C12" s="50" t="s">
        <v>424</v>
      </c>
      <c r="D12" s="69"/>
      <c r="E12" s="69"/>
      <c r="F12" s="69"/>
      <c r="G12" s="69"/>
      <c r="H12" s="69"/>
      <c r="I12" s="53"/>
      <c r="J12" s="53"/>
      <c r="K12" s="53"/>
      <c r="L12" s="53"/>
      <c r="M12" s="53" t="n">
        <f>SUM(O12,R12,S12,U12)</f>
        <v>0</v>
      </c>
      <c r="N12" s="60"/>
      <c r="O12" s="55" t="n">
        <f>N12*1750</f>
        <v>0</v>
      </c>
      <c r="P12" s="66"/>
      <c r="Q12" s="66"/>
      <c r="R12" s="56" t="n">
        <f>P12*1750</f>
        <v>0</v>
      </c>
      <c r="S12" s="56" t="n">
        <f>Q12*890</f>
        <v>0</v>
      </c>
      <c r="T12" s="67"/>
      <c r="U12" s="58" t="n">
        <f>T12*320</f>
        <v>0</v>
      </c>
      <c r="V12" s="68"/>
      <c r="W12" s="59" t="n">
        <f>V12*320</f>
        <v>0</v>
      </c>
      <c r="X12" s="60" t="n">
        <f>SUM(Y12:AC12)</f>
        <v>0</v>
      </c>
      <c r="Y12" s="61"/>
      <c r="Z12" s="61"/>
      <c r="AA12" s="61"/>
      <c r="AB12" s="61"/>
      <c r="AC12" s="62"/>
      <c r="AD12" s="63"/>
    </row>
    <row r="13" ht="24.75" customHeight="1">
      <c r="A13" s="48" t="n">
        <v>8</v>
      </c>
      <c r="B13" s="69"/>
      <c r="C13" s="50" t="s">
        <v>424</v>
      </c>
      <c r="D13" s="69"/>
      <c r="E13" s="69"/>
      <c r="F13" s="69"/>
      <c r="G13" s="69"/>
      <c r="H13" s="69"/>
      <c r="I13" s="53"/>
      <c r="J13" s="53"/>
      <c r="K13" s="53"/>
      <c r="L13" s="53"/>
      <c r="M13" s="53" t="n">
        <f>SUM(O13,R13,S13,U13)</f>
        <v>0</v>
      </c>
      <c r="N13" s="60"/>
      <c r="O13" s="55" t="n">
        <f>N13*1750</f>
        <v>0</v>
      </c>
      <c r="P13" s="66"/>
      <c r="Q13" s="66"/>
      <c r="R13" s="56" t="n">
        <f>P13*1750</f>
        <v>0</v>
      </c>
      <c r="S13" s="56" t="n">
        <f>Q13*890</f>
        <v>0</v>
      </c>
      <c r="T13" s="67"/>
      <c r="U13" s="58" t="n">
        <f>T13*320</f>
        <v>0</v>
      </c>
      <c r="V13" s="68"/>
      <c r="W13" s="59" t="n">
        <f>V13*320</f>
        <v>0</v>
      </c>
      <c r="X13" s="60" t="n">
        <f>SUM(Y13:AC13)</f>
        <v>0</v>
      </c>
      <c r="Y13" s="61"/>
      <c r="Z13" s="61"/>
      <c r="AA13" s="61"/>
      <c r="AB13" s="61"/>
      <c r="AC13" s="62"/>
      <c r="AD13" s="63"/>
    </row>
    <row r="14" ht="24.75" customHeight="1">
      <c r="A14" s="48" t="n">
        <v>9</v>
      </c>
      <c r="B14" s="69"/>
      <c r="C14" s="50" t="s">
        <v>424</v>
      </c>
      <c r="D14" s="69"/>
      <c r="E14" s="69"/>
      <c r="F14" s="69"/>
      <c r="G14" s="69"/>
      <c r="H14" s="69"/>
      <c r="I14" s="53"/>
      <c r="J14" s="53"/>
      <c r="K14" s="53"/>
      <c r="L14" s="53"/>
      <c r="M14" s="53" t="n">
        <f>SUM(O14,R14,S14,U14)</f>
        <v>0</v>
      </c>
      <c r="N14" s="60"/>
      <c r="O14" s="55" t="n">
        <f>N14*1750</f>
        <v>0</v>
      </c>
      <c r="P14" s="66"/>
      <c r="Q14" s="66"/>
      <c r="R14" s="56" t="n">
        <f>P14*1750</f>
        <v>0</v>
      </c>
      <c r="S14" s="56" t="n">
        <f>Q14*890</f>
        <v>0</v>
      </c>
      <c r="T14" s="67"/>
      <c r="U14" s="58" t="n">
        <f>T14*320</f>
        <v>0</v>
      </c>
      <c r="V14" s="68"/>
      <c r="W14" s="59" t="n">
        <f>V14*320</f>
        <v>0</v>
      </c>
      <c r="X14" s="60" t="n">
        <f>SUM(Y14:AC14)</f>
        <v>0</v>
      </c>
      <c r="Y14" s="61"/>
      <c r="Z14" s="61"/>
      <c r="AA14" s="61"/>
      <c r="AB14" s="61"/>
      <c r="AC14" s="62"/>
      <c r="AD14" s="63"/>
    </row>
    <row r="15" ht="24.75" customHeight="1">
      <c r="A15" s="48" t="n">
        <v>10</v>
      </c>
      <c r="B15" s="69"/>
      <c r="C15" s="50" t="s">
        <v>424</v>
      </c>
      <c r="D15" s="69"/>
      <c r="E15" s="69"/>
      <c r="F15" s="69"/>
      <c r="G15" s="69"/>
      <c r="H15" s="69"/>
      <c r="I15" s="53"/>
      <c r="J15" s="53"/>
      <c r="K15" s="53"/>
      <c r="L15" s="53"/>
      <c r="M15" s="53" t="n">
        <f>SUM(O15,R15,S15,U15)</f>
        <v>0</v>
      </c>
      <c r="N15" s="60"/>
      <c r="O15" s="55" t="n">
        <f>N15*1750</f>
        <v>0</v>
      </c>
      <c r="P15" s="66"/>
      <c r="Q15" s="66"/>
      <c r="R15" s="56" t="n">
        <f>P15*1750</f>
        <v>0</v>
      </c>
      <c r="S15" s="56" t="n">
        <f>Q15*890</f>
        <v>0</v>
      </c>
      <c r="T15" s="67"/>
      <c r="U15" s="58" t="n">
        <f>T15*320</f>
        <v>0</v>
      </c>
      <c r="V15" s="68"/>
      <c r="W15" s="59" t="n">
        <f>V15*320</f>
        <v>0</v>
      </c>
      <c r="X15" s="60" t="n">
        <f>SUM(Y15:AC15)</f>
        <v>0</v>
      </c>
      <c r="Y15" s="61"/>
      <c r="Z15" s="61"/>
      <c r="AA15" s="61"/>
      <c r="AB15" s="61"/>
      <c r="AC15" s="62"/>
      <c r="AD15" s="47"/>
    </row>
    <row r="16" ht="15" customHeight="1">
      <c r="A16" s="70"/>
      <c r="B16" s="70"/>
      <c r="C16" s="71"/>
      <c r="D16" s="70"/>
      <c r="E16" s="70"/>
      <c r="F16" s="70"/>
      <c r="G16" s="70"/>
      <c r="H16" s="70"/>
      <c r="I16" s="72"/>
      <c r="J16" s="72"/>
      <c r="K16" s="72"/>
      <c r="L16" s="72"/>
    </row>
    <row r="17" s="6" customFormat="1" ht="130.5" customHeight="1">
      <c r="A17" s="73" t="s">
        <v>650</v>
      </c>
      <c r="B17" s="37"/>
      <c r="C17" s="37"/>
      <c r="D17" s="37"/>
      <c r="E17" s="37"/>
      <c r="F17" s="37"/>
      <c r="G17" s="37"/>
      <c r="H17" s="37"/>
      <c r="I17" s="8"/>
      <c r="J17" s="8"/>
      <c r="K17" s="8"/>
      <c r="L17" s="8"/>
      <c r="M17" s="9"/>
      <c r="N17" s="9"/>
      <c r="O17" s="9"/>
      <c r="P17" s="9"/>
      <c r="Q17" s="9"/>
      <c r="R17" s="9"/>
      <c r="S17" s="9"/>
      <c r="T17" s="9"/>
      <c r="U17" s="9"/>
      <c r="V17" s="9"/>
      <c r="W17" s="9"/>
      <c r="X17" s="9"/>
      <c r="Y17" s="9"/>
      <c r="Z17" s="9"/>
      <c r="AA17" s="9"/>
      <c r="AB17" s="9"/>
      <c r="AC17" s="9"/>
      <c r="AD17" s="9"/>
    </row>
    <row r="18" ht="15" customHeight="1">
      <c r="C18" s="9"/>
    </row>
    <row r="19" ht="15" customHeight="1">
      <c r="C19" s="9"/>
    </row>
    <row r="20" ht="15" customHeight="1">
      <c r="B20" s="74"/>
      <c r="C20" s="9"/>
    </row>
    <row r="21" ht="15" customHeight="1">
      <c r="B21" s="74"/>
      <c r="C21" s="9"/>
    </row>
    <row r="22" ht="15" customHeight="1">
      <c r="C22" s="9"/>
    </row>
    <row r="23" ht="15" customHeight="1">
      <c r="C23" s="9"/>
    </row>
    <row r="24" ht="15" customHeight="1">
      <c r="C24" s="9"/>
    </row>
    <row r="47" ht="15" customHeight="1">
      <c r="C47" s="9"/>
    </row>
    <row r="48" ht="15" customHeight="1">
      <c r="C48" s="9"/>
    </row>
    <row r="49" ht="15" customHeight="1">
      <c r="C49" s="9"/>
    </row>
    <row r="50" ht="15" customHeight="1">
      <c r="C50" s="9"/>
    </row>
    <row r="51" ht="15" customHeight="1">
      <c r="C51" s="9"/>
    </row>
    <row r="52" ht="15" customHeight="1">
      <c r="C52" s="9"/>
    </row>
    <row r="53" ht="15" customHeight="1">
      <c r="C53" s="9"/>
    </row>
    <row r="54" ht="15" customHeight="1">
      <c r="C54" s="9"/>
    </row>
    <row r="55" ht="15" customHeight="1">
      <c r="C55" s="9"/>
    </row>
    <row r="56" ht="15" customHeight="1">
      <c r="C56" s="9"/>
    </row>
    <row r="57" ht="15" customHeight="1">
      <c r="C57" s="9"/>
    </row>
    <row r="58" ht="15" customHeight="1">
      <c r="C58" s="9"/>
    </row>
    <row r="59" ht="15" customHeight="1">
      <c r="C59" s="9"/>
    </row>
    <row r="60" ht="15" customHeight="1">
      <c r="C60" s="9"/>
    </row>
    <row r="61" ht="15" customHeight="1">
      <c r="C61" s="9"/>
    </row>
    <row r="62" ht="15" customHeight="1">
      <c r="C62" s="9"/>
    </row>
    <row r="63" ht="15" customHeight="1">
      <c r="C63" s="9"/>
    </row>
    <row r="64" ht="15" customHeight="1">
      <c r="C64" s="9"/>
    </row>
    <row r="65" ht="15" customHeight="1">
      <c r="C65" s="9"/>
    </row>
    <row r="66" ht="15" customHeight="1">
      <c r="C66" s="9"/>
    </row>
    <row r="67" ht="15" customHeight="1">
      <c r="C67" s="9"/>
    </row>
    <row r="68" ht="15" customHeight="1">
      <c r="C68" s="9"/>
    </row>
    <row r="69" ht="15" customHeight="1">
      <c r="C69" s="9"/>
    </row>
    <row r="70" ht="15" customHeight="1">
      <c r="C70" s="9"/>
    </row>
    <row r="71" ht="15" customHeight="1">
      <c r="C71" s="9"/>
    </row>
    <row r="72" ht="15" customHeight="1">
      <c r="C72" s="9"/>
    </row>
    <row r="73" ht="15" customHeight="1">
      <c r="C73" s="9"/>
    </row>
    <row r="74" ht="15" customHeight="1">
      <c r="C74" s="9"/>
    </row>
    <row r="75" ht="15" customHeight="1">
      <c r="C75" s="9"/>
    </row>
    <row r="76" ht="15" customHeight="1">
      <c r="C76" s="9"/>
    </row>
    <row r="77" ht="15" customHeight="1">
      <c r="C77" s="9"/>
    </row>
    <row r="78" ht="15" customHeight="1">
      <c r="C78" s="9"/>
    </row>
    <row r="79" ht="15" customHeight="1">
      <c r="C79" s="9"/>
    </row>
    <row r="80" ht="15" customHeight="1">
      <c r="C80" s="9"/>
    </row>
    <row r="81" ht="15" customHeight="1">
      <c r="C81" s="9"/>
    </row>
    <row r="82" ht="15" customHeight="1">
      <c r="C82" s="9"/>
    </row>
    <row r="83" ht="15" customHeight="1">
      <c r="C83" s="9"/>
    </row>
    <row r="84" ht="15" customHeight="1">
      <c r="C84" s="9"/>
    </row>
    <row r="85" ht="15" customHeight="1">
      <c r="C85" s="9"/>
    </row>
    <row r="86" ht="15" customHeight="1">
      <c r="C86" s="9"/>
    </row>
    <row r="87" ht="15" customHeight="1">
      <c r="C87" s="9"/>
    </row>
    <row r="88" ht="15" customHeight="1">
      <c r="C88" s="9"/>
    </row>
    <row r="89" ht="15" customHeight="1">
      <c r="C89" s="9"/>
    </row>
    <row r="90" ht="15" customHeight="1">
      <c r="C90" s="9"/>
    </row>
    <row r="91" ht="15" customHeight="1">
      <c r="C91" s="9"/>
    </row>
    <row r="92" ht="15" customHeight="1">
      <c r="C92" s="9"/>
    </row>
    <row r="93" ht="15" customHeight="1">
      <c r="C93" s="9"/>
    </row>
    <row r="94" ht="15" customHeight="1">
      <c r="C94" s="9"/>
    </row>
    <row r="95" ht="15" customHeight="1">
      <c r="C95" s="9"/>
    </row>
    <row r="96" ht="15" customHeight="1">
      <c r="C96" s="9"/>
    </row>
    <row r="97" ht="15" customHeight="1">
      <c r="C97" s="9"/>
    </row>
    <row r="98" ht="15" customHeight="1">
      <c r="C98" s="9"/>
    </row>
    <row r="99" ht="15" customHeight="1">
      <c r="C99" s="9"/>
    </row>
    <row r="100" ht="15" customHeight="1">
      <c r="C100" s="9"/>
    </row>
    <row r="101" ht="15" customHeight="1">
      <c r="C101" s="9"/>
    </row>
    <row r="102" ht="15" customHeight="1">
      <c r="C102" s="9"/>
    </row>
    <row r="103" ht="15" customHeight="1">
      <c r="C103" s="9"/>
    </row>
    <row r="104" ht="15" customHeight="1">
      <c r="C104" s="9"/>
    </row>
    <row r="105" ht="15" customHeight="1">
      <c r="C105" s="9"/>
    </row>
    <row r="106" ht="15" customHeight="1">
      <c r="C106" s="9"/>
    </row>
    <row r="107" ht="15" customHeight="1">
      <c r="C107" s="9"/>
    </row>
    <row r="108" ht="15" customHeight="1">
      <c r="C108" s="9"/>
    </row>
    <row r="109" ht="15" customHeight="1">
      <c r="C109" s="9"/>
    </row>
    <row r="110" ht="15" customHeight="1">
      <c r="C110" s="9"/>
    </row>
    <row r="111" ht="15" customHeight="1">
      <c r="C111" s="9"/>
    </row>
    <row r="112" ht="15" customHeight="1">
      <c r="C112" s="9"/>
    </row>
    <row r="113" ht="15" customHeight="1">
      <c r="C113" s="9"/>
    </row>
    <row r="114" ht="15" customHeight="1">
      <c r="C114" s="9"/>
    </row>
    <row r="115" ht="15" customHeight="1">
      <c r="C115" s="9"/>
    </row>
    <row r="116" ht="15" customHeight="1">
      <c r="C116" s="9"/>
    </row>
    <row r="117" ht="15" customHeight="1">
      <c r="C117" s="9"/>
    </row>
    <row r="118" ht="15" customHeight="1">
      <c r="C118" s="9"/>
    </row>
    <row r="119" ht="15" customHeight="1">
      <c r="C119" s="9"/>
    </row>
    <row r="120" ht="15" customHeight="1">
      <c r="C120" s="9"/>
    </row>
    <row r="121" ht="15" customHeight="1">
      <c r="C121" s="9"/>
    </row>
    <row r="122" ht="15" customHeight="1">
      <c r="C122" s="9"/>
    </row>
    <row r="123" ht="15" customHeight="1">
      <c r="C123" s="9"/>
    </row>
    <row r="124" ht="15" customHeight="1">
      <c r="C124" s="9"/>
    </row>
    <row r="125" ht="15" customHeight="1">
      <c r="C125" s="9"/>
    </row>
    <row r="126" ht="15" customHeight="1">
      <c r="C126" s="9"/>
    </row>
    <row r="127" ht="15" customHeight="1">
      <c r="C127" s="9"/>
    </row>
    <row r="128" ht="15" customHeight="1">
      <c r="C128" s="9"/>
    </row>
    <row r="129" ht="15" customHeight="1">
      <c r="C129" s="9"/>
    </row>
    <row r="130" ht="15" customHeight="1">
      <c r="C130" s="9"/>
    </row>
    <row r="131" ht="15" customHeight="1">
      <c r="C131" s="9"/>
    </row>
    <row r="132" ht="15" customHeight="1">
      <c r="C132" s="9"/>
    </row>
    <row r="133" ht="15" customHeight="1">
      <c r="C133" s="9"/>
    </row>
    <row r="134" ht="15" customHeight="1">
      <c r="C134" s="9"/>
    </row>
    <row r="135" ht="15" customHeight="1">
      <c r="C135" s="9"/>
    </row>
    <row r="136" ht="15" customHeight="1">
      <c r="C136" s="9"/>
    </row>
    <row r="137" ht="15" customHeight="1">
      <c r="C137" s="9"/>
    </row>
    <row r="138" ht="15" customHeight="1">
      <c r="C138" s="9"/>
    </row>
    <row r="139" ht="15" customHeight="1">
      <c r="C139" s="9"/>
    </row>
    <row r="140" ht="15" customHeight="1">
      <c r="C140" s="9"/>
    </row>
    <row r="141" ht="15" customHeight="1">
      <c r="C141" s="9"/>
    </row>
    <row r="142" ht="15" customHeight="1">
      <c r="C142" s="9"/>
    </row>
    <row r="143" ht="15" customHeight="1">
      <c r="C143" s="9"/>
    </row>
    <row r="144" ht="15" customHeight="1">
      <c r="C144" s="9"/>
    </row>
    <row r="145" ht="15" customHeight="1">
      <c r="C145" s="9"/>
    </row>
    <row r="146" ht="15" customHeight="1">
      <c r="C146" s="9"/>
    </row>
    <row r="147" ht="15" customHeight="1">
      <c r="C147" s="9"/>
    </row>
    <row r="148" ht="15" customHeight="1">
      <c r="C148" s="9"/>
    </row>
    <row r="149" ht="15" customHeight="1">
      <c r="C149" s="9"/>
    </row>
    <row r="150" ht="15" customHeight="1">
      <c r="C150" s="9"/>
    </row>
    <row r="151" ht="15" customHeight="1">
      <c r="C151" s="9"/>
    </row>
    <row r="152" ht="15" customHeight="1">
      <c r="C152" s="9"/>
    </row>
    <row r="153" ht="15" customHeight="1">
      <c r="C153" s="9"/>
    </row>
    <row r="154" ht="15" customHeight="1">
      <c r="C154" s="9"/>
    </row>
  </sheetData>
  <mergeCells count="17">
    <mergeCell ref="AD4:AD5"/>
    <mergeCell ref="AD6:AD15"/>
    <mergeCell ref="I4:L4"/>
    <mergeCell ref="C2:D2"/>
    <mergeCell ref="A2:B2"/>
    <mergeCell ref="H2:I2"/>
    <mergeCell ref="A1:H1"/>
    <mergeCell ref="A17:H17"/>
    <mergeCell ref="V4:W4"/>
    <mergeCell ref="T4:U4"/>
    <mergeCell ref="B4:H4"/>
    <mergeCell ref="P4:S4"/>
    <mergeCell ref="N4:O4"/>
    <mergeCell ref="A3:H3"/>
    <mergeCell ref="X4:AC4"/>
    <mergeCell ref="F2:G2"/>
    <mergeCell ref="A4:A5"/>
  </mergeCells>
  <phoneticPr fontId="1" type="noConversion"/>
  <dataValidations count="1">
    <dataValidation type="list" allowBlank="1" showInputMessage="1" showErrorMessage="1" prompt="㧐禵_x0002_" sqref="C3:C16 C18:C24 C47:C154">
      <formula1>"统一地址运营,数字孪生基座,数智网格化系统,地址资源运营平台,智域地图平台,空间聚合服务,警情时空分析,110实时警情定位服务,警务社区可视化平台,数据工程,数据资产,数据服务,数据运营,项目定制,项目分包"</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2026-09-22T14:48:45Z</dcterms:modified>
</cp:coreProperties>
</file>